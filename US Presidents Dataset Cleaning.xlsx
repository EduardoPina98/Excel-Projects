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US_Presidents " sheetId="1" state="visible" r:id="rId3"/>
    <sheet name="Working Sheet" sheetId="2" state="visible" r:id="rId4"/>
  </sheets>
  <definedNames>
    <definedName function="false" hidden="true" localSheetId="1" name="_xlnm._FilterDatabase" vbProcedure="false">'Working Sheet'!$A$1:$L$47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<sst xmlns="http://schemas.openxmlformats.org/spreadsheetml/2006/main" count="435" uniqueCount="141">
  <si>
    <t xml:space="preserve">S.No.</t>
  </si>
  <si>
    <t xml:space="preserve">president</t>
  </si>
  <si>
    <t xml:space="preserve">prior</t>
  </si>
  <si>
    <t xml:space="preserve">party</t>
  </si>
  <si>
    <t xml:space="preserve">vice</t>
  </si>
  <si>
    <t xml:space="preserve">salary</t>
  </si>
  <si>
    <t xml:space="preserve">date updated</t>
  </si>
  <si>
    <t xml:space="preserve">date created</t>
  </si>
  <si>
    <t xml:space="preserve">George Washington</t>
  </si>
  <si>
    <t xml:space="preserve">Commander-in-Chief  of the  Continental Army   ( 1775â€“1783 )</t>
  </si>
  <si>
    <t xml:space="preserve">Nonpartisan</t>
  </si>
  <si>
    <t xml:space="preserve">John Adams</t>
  </si>
  <si>
    <t xml:space="preserve">john adams</t>
  </si>
  <si>
    <t xml:space="preserve">1st  Vice President of the United States</t>
  </si>
  <si>
    <t xml:space="preserve">Federalist</t>
  </si>
  <si>
    <t xml:space="preserve">Thomas Jefferson</t>
  </si>
  <si>
    <t xml:space="preserve">2nd  Vice President of the United States</t>
  </si>
  <si>
    <t xml:space="preserve">Democratic-  Republican</t>
  </si>
  <si>
    <t xml:space="preserve">    Aaron Burr</t>
  </si>
  <si>
    <t xml:space="preserve">James Madison</t>
  </si>
  <si>
    <t xml:space="preserve">5th  United States Secretary of State   (1801â€“1809)</t>
  </si>
  <si>
    <t xml:space="preserve">George    Clinton</t>
  </si>
  <si>
    <t xml:space="preserve">JAMES MONROE</t>
  </si>
  <si>
    <t xml:space="preserve">7th  United States Secretary of State   (1811â€“1817)</t>
  </si>
  <si>
    <t xml:space="preserve">Daniel D. Tompkins</t>
  </si>
  <si>
    <t xml:space="preserve">John Quincy Adams</t>
  </si>
  <si>
    <t xml:space="preserve">8th  United States Secretary of State   (1817â€“1825)</t>
  </si>
  <si>
    <t xml:space="preserve">John C. Calhoun</t>
  </si>
  <si>
    <t xml:space="preserve">Andrew Jackson</t>
  </si>
  <si>
    <t xml:space="preserve">U.S. Senator   ( Class 2 )   from  Tennessee   (1823â€“1825)</t>
  </si>
  <si>
    <t xml:space="preserve">Democratic</t>
  </si>
  <si>
    <t xml:space="preserve">John C.     Calhoun</t>
  </si>
  <si>
    <t xml:space="preserve">Martin Van Buren</t>
  </si>
  <si>
    <t xml:space="preserve">8th  Vice President of the United States</t>
  </si>
  <si>
    <t xml:space="preserve">Richard Mentor Johnson</t>
  </si>
  <si>
    <t xml:space="preserve">William Henry Harrison</t>
  </si>
  <si>
    <t xml:space="preserve">United States Minister to Colombia   (1828â€“1829)</t>
  </si>
  <si>
    <t xml:space="preserve">Whig</t>
  </si>
  <si>
    <t xml:space="preserve">John Tyler</t>
  </si>
  <si>
    <t xml:space="preserve">john tyler</t>
  </si>
  <si>
    <t xml:space="preserve">10th  Vice President of the United States</t>
  </si>
  <si>
    <t xml:space="preserve">Whig   April 4, 1841  â€“  September 13, 1841</t>
  </si>
  <si>
    <t xml:space="preserve">Office vacant</t>
  </si>
  <si>
    <t xml:space="preserve">James K. Polk</t>
  </si>
  <si>
    <t xml:space="preserve">9th  Governor of Tennessee   (1839â€“1841)</t>
  </si>
  <si>
    <t xml:space="preserve">George         M. Dallas</t>
  </si>
  <si>
    <t xml:space="preserve">Zachary Taylor</t>
  </si>
  <si>
    <t xml:space="preserve">Major General  of the  1st Infantry Regiment   United States Army   (1846â€“1849)</t>
  </si>
  <si>
    <t xml:space="preserve">               Millard Fillmore</t>
  </si>
  <si>
    <t xml:space="preserve">Millard Fillmore</t>
  </si>
  <si>
    <t xml:space="preserve">12th  Vice President of the United States</t>
  </si>
  <si>
    <t xml:space="preserve">Franklin Pierce</t>
  </si>
  <si>
    <t xml:space="preserve">Brigadier General  of the  9th Infantry   United States Army   (1847â€“1848)</t>
  </si>
  <si>
    <t xml:space="preserve">William R. King</t>
  </si>
  <si>
    <t xml:space="preserve">James Buchanan</t>
  </si>
  <si>
    <t xml:space="preserve">United States Minister  to the   Court of St James's   (1853â€“1856)</t>
  </si>
  <si>
    <t xml:space="preserve">John C. Breckinridge</t>
  </si>
  <si>
    <t xml:space="preserve">Abraham Lincoln</t>
  </si>
  <si>
    <t xml:space="preserve">U.S. Representative  for  Illinois' 7th District   (1847â€“1849)</t>
  </si>
  <si>
    <t xml:space="preserve">Republican</t>
  </si>
  <si>
    <t xml:space="preserve">Hannibal Hamlin</t>
  </si>
  <si>
    <t xml:space="preserve">Andrew Johnson</t>
  </si>
  <si>
    <t xml:space="preserve">16th  Vice President of the United States</t>
  </si>
  <si>
    <t xml:space="preserve">Ulysses S. Grant</t>
  </si>
  <si>
    <t xml:space="preserve">Commanding General  of the U.S. Army   ( 1864â€“1869 )</t>
  </si>
  <si>
    <t xml:space="preserve">Schuyler Colfax</t>
  </si>
  <si>
    <t xml:space="preserve">Rutherford B. Hayes</t>
  </si>
  <si>
    <t xml:space="preserve">29th &amp; 32nd  Governor of Ohio   (1868â€“1872 &amp; 1876â€“1877)</t>
  </si>
  <si>
    <t xml:space="preserve">William A. Wheeler</t>
  </si>
  <si>
    <t xml:space="preserve">James A. Garfield</t>
  </si>
  <si>
    <t xml:space="preserve">U.S. Representative  for  Ohio's 19th District   (1863â€“1881)</t>
  </si>
  <si>
    <t xml:space="preserve">Chester A. Arthur</t>
  </si>
  <si>
    <t xml:space="preserve">20th  Vice President of the United States</t>
  </si>
  <si>
    <t xml:space="preserve">Grover Cleveland</t>
  </si>
  <si>
    <t xml:space="preserve">28th  Governor of New York   (1883â€“1885)</t>
  </si>
  <si>
    <t xml:space="preserve">Thomas A. Hendricks</t>
  </si>
  <si>
    <t xml:space="preserve">Benjamin Harrison</t>
  </si>
  <si>
    <t xml:space="preserve">U.S. Senator   ( Class 1 )   from  Indiana   (1881â€“1887)</t>
  </si>
  <si>
    <t xml:space="preserve">Levi P. Morton</t>
  </si>
  <si>
    <t xml:space="preserve">22nd  President of the United States   (1885â€“1889)</t>
  </si>
  <si>
    <t xml:space="preserve">Adlai Stevenson</t>
  </si>
  <si>
    <t xml:space="preserve">William McKinley</t>
  </si>
  <si>
    <t xml:space="preserve">39th  Governor of Ohio   (1892â€“1896)</t>
  </si>
  <si>
    <t xml:space="preserve">Garret Hobart</t>
  </si>
  <si>
    <t xml:space="preserve">Theodore Roosevelt</t>
  </si>
  <si>
    <t xml:space="preserve">25th  Vice President of the United States</t>
  </si>
  <si>
    <t xml:space="preserve">William Howard Taft</t>
  </si>
  <si>
    <t xml:space="preserve">42nd  United States Secretary of War   (1904â€“1908)</t>
  </si>
  <si>
    <t xml:space="preserve">James S. Sherman</t>
  </si>
  <si>
    <t xml:space="preserve">Woodrow Wilson</t>
  </si>
  <si>
    <t xml:space="preserve">34th  Governor of New Jersey   (1911â€“1913)</t>
  </si>
  <si>
    <t xml:space="preserve">Thomas R. Marshall</t>
  </si>
  <si>
    <t xml:space="preserve">Demorcatic</t>
  </si>
  <si>
    <t xml:space="preserve">Warren G. Harding</t>
  </si>
  <si>
    <t xml:space="preserve">U.S. Senator   ( Class 3 )   from  Ohio   (1915â€“1921)</t>
  </si>
  <si>
    <t xml:space="preserve">Calvin Coolidge</t>
  </si>
  <si>
    <t xml:space="preserve">29th  Vice President of the United States</t>
  </si>
  <si>
    <t xml:space="preserve">Herbert Hoover</t>
  </si>
  <si>
    <t xml:space="preserve">3rd  United States Secretary of Commerce   (1921â€“1928)</t>
  </si>
  <si>
    <t xml:space="preserve">Charles Curtis</t>
  </si>
  <si>
    <t xml:space="preserve">Franklin D. Roosevelt</t>
  </si>
  <si>
    <t xml:space="preserve">44th  Governor of New York   ( 1929â€“1932 )</t>
  </si>
  <si>
    <t xml:space="preserve">John Nance Garner</t>
  </si>
  <si>
    <t xml:space="preserve">Harry S. Truman</t>
  </si>
  <si>
    <t xml:space="preserve">34th  Vice President of the United States</t>
  </si>
  <si>
    <t xml:space="preserve">Dwight D. Eisenhower</t>
  </si>
  <si>
    <t xml:space="preserve">Supreme Allied Commander Europe   ( 1949â€“1952 )</t>
  </si>
  <si>
    <t xml:space="preserve">Richard Nixon</t>
  </si>
  <si>
    <t xml:space="preserve">John F. Kennedy</t>
  </si>
  <si>
    <t xml:space="preserve">U.S. Senator   ( Class 1 )   from  Massachusetts   (1953â€“1960)</t>
  </si>
  <si>
    <t xml:space="preserve">Lyndon B. Johnson</t>
  </si>
  <si>
    <t xml:space="preserve">37th  Vice President of the United States</t>
  </si>
  <si>
    <t xml:space="preserve">36th  Vice President of the United States   (1953â€“1961)</t>
  </si>
  <si>
    <t xml:space="preserve">Spiro Agnew</t>
  </si>
  <si>
    <t xml:space="preserve">Gerald Ford</t>
  </si>
  <si>
    <t xml:space="preserve">40th  Vice President of the United States</t>
  </si>
  <si>
    <t xml:space="preserve">Jimmy Carter</t>
  </si>
  <si>
    <t xml:space="preserve">76th  Governor of Georgia   (1971â€“1975)</t>
  </si>
  <si>
    <t xml:space="preserve">Walter Mondale</t>
  </si>
  <si>
    <t xml:space="preserve">Ronald Reagan</t>
  </si>
  <si>
    <t xml:space="preserve">33rd  Governor of California   ( 1967â€“1975 )</t>
  </si>
  <si>
    <t xml:space="preserve">George H. W. Bush</t>
  </si>
  <si>
    <t xml:space="preserve">43rd  Vice President of the United States</t>
  </si>
  <si>
    <t xml:space="preserve">Dan Quayle</t>
  </si>
  <si>
    <t xml:space="preserve">Bill Clinton</t>
  </si>
  <si>
    <t xml:space="preserve">40th &amp; 42nd  Governor of Arkansas   (1979â€“1981 &amp; 1983â€“1992)</t>
  </si>
  <si>
    <t xml:space="preserve">Al Gore</t>
  </si>
  <si>
    <t xml:space="preserve">George W. Bush</t>
  </si>
  <si>
    <t xml:space="preserve">46th  Governor of Texas   ( 1995â€“2000 )</t>
  </si>
  <si>
    <t xml:space="preserve">Dick Cheney</t>
  </si>
  <si>
    <t xml:space="preserve">Barack Obama</t>
  </si>
  <si>
    <t xml:space="preserve">U.S. Senator   ( Class 3 )   from  Illinois   ( 2005â€“2008 )</t>
  </si>
  <si>
    <t xml:space="preserve">Joe Biden</t>
  </si>
  <si>
    <t xml:space="preserve">Donald Trump</t>
  </si>
  <si>
    <t xml:space="preserve">Chairman of   The Trump Organization   ( 1971â€“present )</t>
  </si>
  <si>
    <t xml:space="preserve">Republicans</t>
  </si>
  <si>
    <t xml:space="preserve">Mike Pence</t>
  </si>
  <si>
    <t xml:space="preserve">president_cleaned</t>
  </si>
  <si>
    <t xml:space="preserve">prior_cleaned</t>
  </si>
  <si>
    <t xml:space="preserve">party_cleaned</t>
  </si>
  <si>
    <t xml:space="preserve">vice_cleaned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</si>
</sst>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\$#,##0.00"/>
    <numFmt numFmtId="167" formatCode="dd/mm/yyyy"/>
    <numFmt numFmtId="168" formatCode="[$-F800]dddd&quot;, &quot;mmmm\ dd&quot;, &quot;yyyy"/>
    <numFmt numFmtId="169" formatCode="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1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A933"/>
          <bgColor rgb="FF000000"/>
        </patternFill>
      </fill>
    </dxf>
    <dxf>
      <fill>
        <patternFill patternType="solid">
          <fgColor rgb="FF1DB32D"/>
          <bgColor rgb="FF000000"/>
        </patternFill>
      </fill>
    </dxf>
    <dxf>
      <fill>
        <patternFill patternType="solid">
          <fgColor rgb="FF55C622"/>
          <bgColor rgb="FF000000"/>
        </patternFill>
      </fill>
    </dxf>
    <dxf>
      <fill>
        <patternFill patternType="solid">
          <fgColor rgb="FF8ED916"/>
          <bgColor rgb="FF000000"/>
        </patternFill>
      </fill>
    </dxf>
    <dxf>
      <fill>
        <patternFill patternType="solid">
          <fgColor rgb="FFC7EC0B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C00"/>
          <bgColor rgb="FF000000"/>
        </patternFill>
      </fill>
    </dxf>
    <dxf>
      <fill>
        <patternFill patternType="solid">
          <fgColor rgb="FFFF1800"/>
          <bgColor rgb="FF000000"/>
        </patternFill>
      </fill>
    </dxf>
    <dxf>
      <fill>
        <patternFill patternType="solid">
          <fgColor rgb="FFFF2400"/>
          <bgColor rgb="FF000000"/>
        </patternFill>
      </fill>
    </dxf>
    <dxf>
      <fill>
        <patternFill patternType="solid">
          <fgColor rgb="FFFF3C00"/>
          <bgColor rgb="FF000000"/>
        </patternFill>
      </fill>
    </dxf>
    <dxf>
      <fill>
        <patternFill patternType="solid">
          <fgColor rgb="FFFF5500"/>
          <bgColor rgb="FF000000"/>
        </patternFill>
      </fill>
    </dxf>
    <dxf>
      <fill>
        <patternFill patternType="solid">
          <fgColor rgb="FFFF6D00"/>
          <bgColor rgb="FF000000"/>
        </patternFill>
      </fill>
    </dxf>
    <dxf>
      <fill>
        <patternFill patternType="solid">
          <fgColor rgb="FFFF8500"/>
          <bgColor rgb="FF000000"/>
        </patternFill>
      </fill>
    </dxf>
    <dxf>
      <fill>
        <patternFill patternType="solid">
          <fgColor rgb="FFFF9D00"/>
          <bgColor rgb="FF000000"/>
        </patternFill>
      </fill>
    </dxf>
    <dxf>
      <fill>
        <patternFill patternType="solid">
          <fgColor rgb="FFFFB600"/>
          <bgColor rgb="FF000000"/>
        </patternFill>
      </fill>
    </dxf>
    <dxf>
      <fill>
        <patternFill patternType="solid">
          <fgColor rgb="FFFFCE00"/>
          <bgColor rgb="FF000000"/>
        </patternFill>
      </fill>
    </dxf>
    <dxf>
      <fill>
        <patternFill patternType="solid">
          <fgColor rgb="FFFFE6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ont>
        <name val="Calibri"/>
        <charset val="1"/>
        <family val="2"/>
        <b val="1"/>
        <color rgb="FF000000"/>
        <sz val="11"/>
      </font>
      <alignment horizontal="general" vertical="bottom" textRotation="0" wrapText="false" indent="0" shrinkToFit="false"/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8"/>
  <sheetViews>
    <sheetView showFormulas="false" showGridLines="true" showRowColHeaders="true" showZeros="true" rightToLeft="false" tabSelected="false" showOutlineSymbols="true" defaultGridColor="true" view="normal" topLeftCell="A1" colorId="64" zoomScale="72" zoomScaleNormal="72" zoomScalePageLayoutView="100" workbookViewId="0">
      <selection pane="topLeft" activeCell="C1" activeCellId="0" sqref="C1"/>
    </sheetView>
  </sheetViews>
  <sheetFormatPr defaultColWidth="23.5625" defaultRowHeight="14.25" customHeight="false" zeroHeight="false" outlineLevelRow="0" outlineLevelCol="0"/>
  <cols>
    <col collapsed="false" customWidth="false" hidden="false" outlineLevel="0" max="7" min="7" style="1" width="23.56"/>
  </cols>
  <sheetData>
    <row r="1" customFormat="false" ht="14.25" hidden="false" customHeight="false" outlineLevel="0" collapsed="false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  <c r="H1" s="2" t="s">
        <v>6</v>
      </c>
      <c r="I1" s="2" t="s">
        <v>7</v>
      </c>
      <c r="J1" s="2"/>
      <c r="K1" s="2"/>
      <c r="L1" s="2"/>
    </row>
    <row r="2" customFormat="false" ht="14.25" hidden="false" customHeight="false" outlineLevel="0" collapsed="false">
      <c r="A2" s="4" t="n">
        <v>0</v>
      </c>
      <c r="B2" s="4" t="n">
        <v>1</v>
      </c>
      <c r="C2" s="4" t="s">
        <v>8</v>
      </c>
      <c r="D2" s="4" t="s">
        <v>9</v>
      </c>
      <c r="E2" s="4" t="s">
        <v>10</v>
      </c>
      <c r="F2" s="4" t="s">
        <v>11</v>
      </c>
      <c r="G2" s="5" t="n">
        <v>5000</v>
      </c>
      <c r="H2" s="6" t="n">
        <v>44391</v>
      </c>
      <c r="I2" s="6" t="n">
        <v>40972</v>
      </c>
    </row>
    <row r="3" customFormat="false" ht="14.25" hidden="false" customHeight="false" outlineLevel="0" collapsed="false">
      <c r="A3" s="4" t="n">
        <v>1</v>
      </c>
      <c r="B3" s="4" t="n">
        <v>2</v>
      </c>
      <c r="C3" s="4" t="s">
        <v>12</v>
      </c>
      <c r="D3" s="4" t="s">
        <v>13</v>
      </c>
      <c r="E3" s="4" t="s">
        <v>14</v>
      </c>
      <c r="F3" s="4" t="s">
        <v>15</v>
      </c>
      <c r="G3" s="5" t="n">
        <v>10000</v>
      </c>
      <c r="H3" s="6" t="n">
        <v>44391</v>
      </c>
      <c r="I3" s="6" t="n">
        <v>40972</v>
      </c>
    </row>
    <row r="4" customFormat="false" ht="14.25" hidden="false" customHeight="false" outlineLevel="0" collapsed="false">
      <c r="A4" s="4" t="n">
        <v>2</v>
      </c>
      <c r="B4" s="4" t="n">
        <v>3</v>
      </c>
      <c r="C4" s="4" t="s">
        <v>15</v>
      </c>
      <c r="D4" s="4" t="s">
        <v>16</v>
      </c>
      <c r="E4" s="4" t="s">
        <v>17</v>
      </c>
      <c r="F4" s="4" t="s">
        <v>18</v>
      </c>
      <c r="G4" s="5" t="n">
        <v>15000</v>
      </c>
      <c r="H4" s="6" t="n">
        <v>44391</v>
      </c>
      <c r="I4" s="6" t="n">
        <v>40972</v>
      </c>
    </row>
    <row r="5" customFormat="false" ht="14.25" hidden="false" customHeight="false" outlineLevel="0" collapsed="false">
      <c r="A5" s="4" t="n">
        <v>3</v>
      </c>
      <c r="B5" s="4" t="n">
        <v>4</v>
      </c>
      <c r="C5" s="4" t="s">
        <v>19</v>
      </c>
      <c r="D5" s="4" t="s">
        <v>20</v>
      </c>
      <c r="E5" s="4" t="s">
        <v>17</v>
      </c>
      <c r="F5" s="4" t="s">
        <v>21</v>
      </c>
      <c r="G5" s="5" t="n">
        <v>20000</v>
      </c>
      <c r="H5" s="6" t="n">
        <v>44391</v>
      </c>
      <c r="I5" s="6" t="n">
        <v>40972</v>
      </c>
    </row>
    <row r="6" customFormat="false" ht="14.25" hidden="false" customHeight="false" outlineLevel="0" collapsed="false">
      <c r="A6" s="4" t="n">
        <v>4</v>
      </c>
      <c r="B6" s="4" t="n">
        <v>5</v>
      </c>
      <c r="C6" s="4" t="s">
        <v>22</v>
      </c>
      <c r="D6" s="4" t="s">
        <v>23</v>
      </c>
      <c r="E6" s="4" t="s">
        <v>17</v>
      </c>
      <c r="F6" s="4" t="s">
        <v>24</v>
      </c>
      <c r="G6" s="5" t="n">
        <v>25000</v>
      </c>
      <c r="H6" s="6" t="n">
        <v>44391</v>
      </c>
      <c r="I6" s="6" t="n">
        <v>40972</v>
      </c>
    </row>
    <row r="7" customFormat="false" ht="14.25" hidden="false" customHeight="false" outlineLevel="0" collapsed="false">
      <c r="A7" s="4" t="n">
        <v>5</v>
      </c>
      <c r="B7" s="4" t="n">
        <v>6</v>
      </c>
      <c r="C7" s="4" t="s">
        <v>25</v>
      </c>
      <c r="D7" s="4" t="s">
        <v>26</v>
      </c>
      <c r="E7" s="4" t="s">
        <v>17</v>
      </c>
      <c r="F7" s="4" t="s">
        <v>27</v>
      </c>
      <c r="G7" s="5" t="n">
        <v>30000</v>
      </c>
      <c r="H7" s="6" t="n">
        <v>44391</v>
      </c>
      <c r="I7" s="6" t="n">
        <v>40972</v>
      </c>
    </row>
    <row r="8" customFormat="false" ht="14.25" hidden="false" customHeight="false" outlineLevel="0" collapsed="false">
      <c r="A8" s="4" t="n">
        <v>6</v>
      </c>
      <c r="B8" s="4" t="n">
        <v>7</v>
      </c>
      <c r="C8" s="4" t="s">
        <v>28</v>
      </c>
      <c r="D8" s="4" t="s">
        <v>29</v>
      </c>
      <c r="E8" s="4" t="s">
        <v>30</v>
      </c>
      <c r="F8" s="4" t="s">
        <v>31</v>
      </c>
      <c r="G8" s="5" t="n">
        <v>35000</v>
      </c>
      <c r="H8" s="6" t="n">
        <v>44391</v>
      </c>
      <c r="I8" s="6" t="n">
        <v>40972</v>
      </c>
    </row>
    <row r="9" customFormat="false" ht="14.25" hidden="false" customHeight="false" outlineLevel="0" collapsed="false">
      <c r="A9" s="4" t="n">
        <v>7</v>
      </c>
      <c r="B9" s="4" t="n">
        <v>8</v>
      </c>
      <c r="C9" s="4" t="s">
        <v>32</v>
      </c>
      <c r="D9" s="4" t="s">
        <v>33</v>
      </c>
      <c r="E9" s="4" t="s">
        <v>30</v>
      </c>
      <c r="F9" s="4" t="s">
        <v>34</v>
      </c>
      <c r="G9" s="5" t="n">
        <v>40000</v>
      </c>
      <c r="H9" s="6" t="n">
        <v>44391</v>
      </c>
      <c r="I9" s="6" t="n">
        <v>40972</v>
      </c>
    </row>
    <row r="10" customFormat="false" ht="14.25" hidden="false" customHeight="false" outlineLevel="0" collapsed="false">
      <c r="A10" s="4" t="n">
        <v>8</v>
      </c>
      <c r="B10" s="4" t="n">
        <v>9</v>
      </c>
      <c r="C10" s="4" t="s">
        <v>35</v>
      </c>
      <c r="D10" s="4" t="s">
        <v>36</v>
      </c>
      <c r="E10" s="4" t="s">
        <v>37</v>
      </c>
      <c r="F10" s="4" t="s">
        <v>38</v>
      </c>
      <c r="G10" s="5" t="n">
        <v>45000</v>
      </c>
      <c r="H10" s="6" t="n">
        <v>44391</v>
      </c>
      <c r="I10" s="6" t="n">
        <v>40972</v>
      </c>
    </row>
    <row r="11" customFormat="false" ht="14.25" hidden="false" customHeight="false" outlineLevel="0" collapsed="false">
      <c r="A11" s="4" t="n">
        <v>9</v>
      </c>
      <c r="B11" s="4" t="n">
        <v>10</v>
      </c>
      <c r="C11" s="4" t="s">
        <v>39</v>
      </c>
      <c r="D11" s="4" t="s">
        <v>40</v>
      </c>
      <c r="E11" s="4" t="s">
        <v>41</v>
      </c>
      <c r="F11" s="4" t="s">
        <v>42</v>
      </c>
      <c r="G11" s="5" t="n">
        <v>50000</v>
      </c>
      <c r="H11" s="6" t="n">
        <v>44391</v>
      </c>
      <c r="I11" s="6" t="n">
        <v>40972</v>
      </c>
    </row>
    <row r="12" customFormat="false" ht="14.25" hidden="false" customHeight="false" outlineLevel="0" collapsed="false">
      <c r="A12" s="4" t="n">
        <v>10</v>
      </c>
      <c r="B12" s="4" t="n">
        <v>11</v>
      </c>
      <c r="C12" s="4" t="s">
        <v>43</v>
      </c>
      <c r="D12" s="4" t="s">
        <v>44</v>
      </c>
      <c r="E12" s="4" t="s">
        <v>30</v>
      </c>
      <c r="F12" s="4" t="s">
        <v>45</v>
      </c>
      <c r="G12" s="5" t="n">
        <v>55000</v>
      </c>
      <c r="H12" s="6" t="n">
        <v>44391</v>
      </c>
      <c r="I12" s="6" t="n">
        <v>40972</v>
      </c>
    </row>
    <row r="13" customFormat="false" ht="14.25" hidden="false" customHeight="false" outlineLevel="0" collapsed="false">
      <c r="A13" s="4" t="n">
        <v>11</v>
      </c>
      <c r="B13" s="4" t="n">
        <v>12</v>
      </c>
      <c r="C13" s="4" t="s">
        <v>46</v>
      </c>
      <c r="D13" s="4" t="s">
        <v>47</v>
      </c>
      <c r="E13" s="4" t="s">
        <v>37</v>
      </c>
      <c r="F13" s="4" t="s">
        <v>48</v>
      </c>
      <c r="G13" s="5" t="n">
        <v>60000</v>
      </c>
      <c r="H13" s="6" t="n">
        <v>44391</v>
      </c>
      <c r="I13" s="6" t="n">
        <v>40972</v>
      </c>
    </row>
    <row r="14" customFormat="false" ht="14.25" hidden="false" customHeight="false" outlineLevel="0" collapsed="false">
      <c r="A14" s="4" t="n">
        <v>12</v>
      </c>
      <c r="B14" s="4" t="n">
        <v>13</v>
      </c>
      <c r="C14" s="4" t="s">
        <v>49</v>
      </c>
      <c r="D14" s="4" t="s">
        <v>50</v>
      </c>
      <c r="E14" s="4" t="s">
        <v>37</v>
      </c>
      <c r="F14" s="4" t="s">
        <v>42</v>
      </c>
      <c r="G14" s="5" t="n">
        <v>65000</v>
      </c>
      <c r="H14" s="6" t="n">
        <v>44391</v>
      </c>
      <c r="I14" s="6" t="n">
        <v>40972</v>
      </c>
    </row>
    <row r="15" customFormat="false" ht="14.25" hidden="false" customHeight="false" outlineLevel="0" collapsed="false">
      <c r="A15" s="4" t="n">
        <v>13</v>
      </c>
      <c r="B15" s="4" t="n">
        <v>14</v>
      </c>
      <c r="C15" s="4" t="s">
        <v>51</v>
      </c>
      <c r="D15" s="4" t="s">
        <v>52</v>
      </c>
      <c r="E15" s="4" t="s">
        <v>30</v>
      </c>
      <c r="F15" s="4" t="s">
        <v>53</v>
      </c>
      <c r="G15" s="5" t="n">
        <v>75000</v>
      </c>
      <c r="H15" s="6" t="n">
        <v>44391</v>
      </c>
      <c r="I15" s="6" t="n">
        <v>40972</v>
      </c>
    </row>
    <row r="16" customFormat="false" ht="14.25" hidden="false" customHeight="false" outlineLevel="0" collapsed="false">
      <c r="A16" s="4" t="n">
        <v>14</v>
      </c>
      <c r="B16" s="4" t="n">
        <v>15</v>
      </c>
      <c r="C16" s="4" t="s">
        <v>54</v>
      </c>
      <c r="D16" s="4" t="s">
        <v>55</v>
      </c>
      <c r="E16" s="4" t="s">
        <v>30</v>
      </c>
      <c r="F16" s="4" t="s">
        <v>56</v>
      </c>
      <c r="G16" s="5" t="n">
        <v>85000</v>
      </c>
      <c r="H16" s="6" t="n">
        <v>44391</v>
      </c>
      <c r="I16" s="6" t="n">
        <v>40972</v>
      </c>
    </row>
    <row r="17" customFormat="false" ht="14.25" hidden="false" customHeight="false" outlineLevel="0" collapsed="false">
      <c r="A17" s="4" t="n">
        <v>15</v>
      </c>
      <c r="B17" s="4" t="n">
        <v>16</v>
      </c>
      <c r="C17" s="4" t="s">
        <v>57</v>
      </c>
      <c r="D17" s="4" t="s">
        <v>58</v>
      </c>
      <c r="E17" s="4" t="s">
        <v>59</v>
      </c>
      <c r="F17" s="4" t="s">
        <v>60</v>
      </c>
      <c r="G17" s="5" t="n">
        <v>95000</v>
      </c>
      <c r="H17" s="6" t="n">
        <v>44391</v>
      </c>
      <c r="I17" s="6" t="n">
        <v>40972</v>
      </c>
    </row>
    <row r="18" customFormat="false" ht="14.25" hidden="false" customHeight="false" outlineLevel="0" collapsed="false">
      <c r="A18" s="4" t="n">
        <v>16</v>
      </c>
      <c r="B18" s="4" t="n">
        <v>17</v>
      </c>
      <c r="C18" s="4" t="s">
        <v>61</v>
      </c>
      <c r="D18" s="4" t="s">
        <v>62</v>
      </c>
      <c r="E18" s="4" t="s">
        <v>30</v>
      </c>
      <c r="F18" s="4" t="s">
        <v>42</v>
      </c>
      <c r="G18" s="5" t="n">
        <v>105000</v>
      </c>
      <c r="H18" s="6" t="n">
        <v>44391</v>
      </c>
      <c r="I18" s="6" t="n">
        <v>40972</v>
      </c>
    </row>
    <row r="19" customFormat="false" ht="14.25" hidden="false" customHeight="false" outlineLevel="0" collapsed="false">
      <c r="A19" s="4" t="n">
        <v>17</v>
      </c>
      <c r="B19" s="4" t="n">
        <v>18</v>
      </c>
      <c r="C19" s="4" t="s">
        <v>63</v>
      </c>
      <c r="D19" s="4" t="s">
        <v>64</v>
      </c>
      <c r="E19" s="4" t="s">
        <v>59</v>
      </c>
      <c r="F19" s="4" t="s">
        <v>65</v>
      </c>
      <c r="G19" s="5" t="n">
        <v>115000</v>
      </c>
      <c r="H19" s="6" t="n">
        <v>44391</v>
      </c>
      <c r="I19" s="6" t="n">
        <v>40972</v>
      </c>
    </row>
    <row r="20" customFormat="false" ht="14.25" hidden="false" customHeight="false" outlineLevel="0" collapsed="false">
      <c r="A20" s="4" t="n">
        <v>18</v>
      </c>
      <c r="B20" s="4" t="n">
        <v>19</v>
      </c>
      <c r="C20" s="4" t="s">
        <v>66</v>
      </c>
      <c r="D20" s="4" t="s">
        <v>67</v>
      </c>
      <c r="E20" s="4" t="s">
        <v>59</v>
      </c>
      <c r="F20" s="4" t="s">
        <v>68</v>
      </c>
      <c r="G20" s="5" t="n">
        <v>125000</v>
      </c>
      <c r="H20" s="6" t="n">
        <v>44391</v>
      </c>
      <c r="I20" s="6" t="n">
        <v>40972</v>
      </c>
    </row>
    <row r="21" customFormat="false" ht="14.25" hidden="false" customHeight="false" outlineLevel="0" collapsed="false">
      <c r="A21" s="4" t="n">
        <v>19</v>
      </c>
      <c r="B21" s="4" t="n">
        <v>20</v>
      </c>
      <c r="C21" s="4" t="s">
        <v>69</v>
      </c>
      <c r="D21" s="4" t="s">
        <v>70</v>
      </c>
      <c r="E21" s="4" t="s">
        <v>59</v>
      </c>
      <c r="F21" s="4" t="s">
        <v>71</v>
      </c>
      <c r="G21" s="5" t="n">
        <v>135000</v>
      </c>
      <c r="H21" s="6" t="n">
        <v>44391</v>
      </c>
      <c r="I21" s="6" t="n">
        <v>40972</v>
      </c>
    </row>
    <row r="22" customFormat="false" ht="14.25" hidden="false" customHeight="false" outlineLevel="0" collapsed="false">
      <c r="A22" s="4" t="n">
        <v>20</v>
      </c>
      <c r="B22" s="4" t="n">
        <v>21</v>
      </c>
      <c r="C22" s="4" t="s">
        <v>71</v>
      </c>
      <c r="D22" s="4" t="s">
        <v>72</v>
      </c>
      <c r="E22" s="4" t="s">
        <v>59</v>
      </c>
      <c r="F22" s="4" t="s">
        <v>42</v>
      </c>
      <c r="G22" s="5" t="n">
        <v>145000</v>
      </c>
      <c r="H22" s="6" t="n">
        <v>44391</v>
      </c>
      <c r="I22" s="6" t="n">
        <v>40972</v>
      </c>
    </row>
    <row r="23" customFormat="false" ht="14.25" hidden="false" customHeight="false" outlineLevel="0" collapsed="false">
      <c r="A23" s="4" t="n">
        <v>21</v>
      </c>
      <c r="B23" s="4" t="n">
        <v>22</v>
      </c>
      <c r="C23" s="4" t="s">
        <v>73</v>
      </c>
      <c r="D23" s="4" t="s">
        <v>74</v>
      </c>
      <c r="E23" s="4" t="s">
        <v>30</v>
      </c>
      <c r="F23" s="4" t="s">
        <v>75</v>
      </c>
      <c r="G23" s="5" t="n">
        <v>155000</v>
      </c>
      <c r="H23" s="6" t="n">
        <v>44391</v>
      </c>
      <c r="I23" s="6" t="n">
        <v>40972</v>
      </c>
    </row>
    <row r="24" customFormat="false" ht="14.25" hidden="false" customHeight="false" outlineLevel="0" collapsed="false">
      <c r="A24" s="4" t="n">
        <v>22</v>
      </c>
      <c r="B24" s="4" t="n">
        <v>23</v>
      </c>
      <c r="C24" s="4" t="s">
        <v>76</v>
      </c>
      <c r="D24" s="4" t="s">
        <v>77</v>
      </c>
      <c r="E24" s="4" t="s">
        <v>59</v>
      </c>
      <c r="F24" s="4" t="s">
        <v>78</v>
      </c>
      <c r="G24" s="5" t="n">
        <v>165000</v>
      </c>
      <c r="H24" s="6" t="n">
        <v>44391</v>
      </c>
      <c r="I24" s="6" t="n">
        <v>40972</v>
      </c>
    </row>
    <row r="25" customFormat="false" ht="14.25" hidden="false" customHeight="false" outlineLevel="0" collapsed="false">
      <c r="A25" s="4" t="n">
        <v>23</v>
      </c>
      <c r="B25" s="4" t="n">
        <v>24</v>
      </c>
      <c r="C25" s="4" t="s">
        <v>73</v>
      </c>
      <c r="D25" s="4" t="s">
        <v>79</v>
      </c>
      <c r="E25" s="4" t="s">
        <v>30</v>
      </c>
      <c r="F25" s="4" t="s">
        <v>80</v>
      </c>
      <c r="G25" s="5" t="n">
        <v>175000</v>
      </c>
      <c r="H25" s="6" t="n">
        <v>44391</v>
      </c>
      <c r="I25" s="6" t="n">
        <v>40972</v>
      </c>
    </row>
    <row r="26" customFormat="false" ht="14.25" hidden="false" customHeight="false" outlineLevel="0" collapsed="false">
      <c r="A26" s="4" t="n">
        <v>24</v>
      </c>
      <c r="B26" s="4" t="n">
        <v>25</v>
      </c>
      <c r="C26" s="4" t="s">
        <v>81</v>
      </c>
      <c r="D26" s="4" t="s">
        <v>82</v>
      </c>
      <c r="E26" s="4" t="s">
        <v>59</v>
      </c>
      <c r="F26" s="4" t="s">
        <v>83</v>
      </c>
      <c r="G26" s="5" t="n">
        <v>185000</v>
      </c>
      <c r="H26" s="6" t="n">
        <v>44391</v>
      </c>
      <c r="I26" s="6" t="n">
        <v>40972</v>
      </c>
    </row>
    <row r="27" customFormat="false" ht="14.25" hidden="false" customHeight="false" outlineLevel="0" collapsed="false">
      <c r="A27" s="4" t="n">
        <v>25</v>
      </c>
      <c r="B27" s="4" t="n">
        <v>26</v>
      </c>
      <c r="C27" s="4" t="s">
        <v>84</v>
      </c>
      <c r="D27" s="4" t="s">
        <v>85</v>
      </c>
      <c r="E27" s="4" t="s">
        <v>59</v>
      </c>
      <c r="F27" s="4" t="s">
        <v>42</v>
      </c>
      <c r="G27" s="5" t="n">
        <v>195000</v>
      </c>
      <c r="H27" s="6" t="n">
        <v>44391</v>
      </c>
      <c r="I27" s="6" t="n">
        <v>40972</v>
      </c>
    </row>
    <row r="28" customFormat="false" ht="14.25" hidden="false" customHeight="false" outlineLevel="0" collapsed="false">
      <c r="A28" s="4" t="n">
        <v>26</v>
      </c>
      <c r="B28" s="4" t="n">
        <v>27</v>
      </c>
      <c r="C28" s="4" t="s">
        <v>86</v>
      </c>
      <c r="D28" s="4" t="s">
        <v>87</v>
      </c>
      <c r="E28" s="4" t="s">
        <v>59</v>
      </c>
      <c r="F28" s="4" t="s">
        <v>88</v>
      </c>
      <c r="G28" s="5" t="n">
        <v>205000</v>
      </c>
      <c r="H28" s="6" t="n">
        <v>44391</v>
      </c>
      <c r="I28" s="6" t="n">
        <v>40972</v>
      </c>
    </row>
    <row r="29" customFormat="false" ht="14.25" hidden="false" customHeight="false" outlineLevel="0" collapsed="false">
      <c r="A29" s="4" t="n">
        <v>27</v>
      </c>
      <c r="B29" s="4" t="n">
        <v>28</v>
      </c>
      <c r="C29" s="4" t="s">
        <v>89</v>
      </c>
      <c r="D29" s="4" t="s">
        <v>90</v>
      </c>
      <c r="E29" s="4" t="s">
        <v>30</v>
      </c>
      <c r="F29" s="4" t="s">
        <v>91</v>
      </c>
      <c r="G29" s="5" t="n">
        <v>225000</v>
      </c>
      <c r="H29" s="6" t="n">
        <v>44391</v>
      </c>
      <c r="I29" s="6" t="n">
        <v>40972</v>
      </c>
    </row>
    <row r="30" customFormat="false" ht="14.25" hidden="false" customHeight="false" outlineLevel="0" collapsed="false">
      <c r="A30" s="4" t="n">
        <v>27</v>
      </c>
      <c r="B30" s="4" t="n">
        <v>28</v>
      </c>
      <c r="C30" s="4" t="s">
        <v>89</v>
      </c>
      <c r="D30" s="4" t="s">
        <v>90</v>
      </c>
      <c r="E30" s="4" t="s">
        <v>92</v>
      </c>
      <c r="F30" s="4" t="s">
        <v>91</v>
      </c>
      <c r="G30" s="5" t="n">
        <v>225000</v>
      </c>
      <c r="H30" s="6" t="n">
        <v>44391</v>
      </c>
      <c r="I30" s="6" t="n">
        <v>40972</v>
      </c>
    </row>
    <row r="31" customFormat="false" ht="14.25" hidden="false" customHeight="false" outlineLevel="0" collapsed="false">
      <c r="A31" s="4" t="n">
        <v>28</v>
      </c>
      <c r="B31" s="4" t="n">
        <v>29</v>
      </c>
      <c r="C31" s="4" t="s">
        <v>93</v>
      </c>
      <c r="D31" s="4" t="s">
        <v>94</v>
      </c>
      <c r="E31" s="4" t="s">
        <v>59</v>
      </c>
      <c r="F31" s="4" t="s">
        <v>95</v>
      </c>
      <c r="G31" s="5" t="n">
        <v>235000</v>
      </c>
      <c r="H31" s="6" t="n">
        <v>44391</v>
      </c>
      <c r="I31" s="6" t="n">
        <v>40972</v>
      </c>
    </row>
    <row r="32" customFormat="false" ht="14.25" hidden="false" customHeight="false" outlineLevel="0" collapsed="false">
      <c r="A32" s="4" t="n">
        <v>29</v>
      </c>
      <c r="B32" s="4" t="n">
        <v>30</v>
      </c>
      <c r="C32" s="4" t="s">
        <v>95</v>
      </c>
      <c r="D32" s="4" t="s">
        <v>96</v>
      </c>
      <c r="E32" s="4" t="s">
        <v>59</v>
      </c>
      <c r="F32" s="4" t="s">
        <v>42</v>
      </c>
      <c r="G32" s="5" t="n">
        <v>245000</v>
      </c>
      <c r="H32" s="6" t="n">
        <v>44391</v>
      </c>
      <c r="I32" s="6" t="n">
        <v>40972</v>
      </c>
    </row>
    <row r="33" customFormat="false" ht="14.25" hidden="false" customHeight="false" outlineLevel="0" collapsed="false">
      <c r="A33" s="4" t="n">
        <v>30</v>
      </c>
      <c r="B33" s="4" t="n">
        <v>31</v>
      </c>
      <c r="C33" s="4" t="s">
        <v>97</v>
      </c>
      <c r="D33" s="4" t="s">
        <v>98</v>
      </c>
      <c r="E33" s="4" t="s">
        <v>59</v>
      </c>
      <c r="F33" s="4" t="s">
        <v>99</v>
      </c>
      <c r="G33" s="5" t="n">
        <v>255000</v>
      </c>
      <c r="H33" s="6" t="n">
        <v>44391</v>
      </c>
      <c r="I33" s="6" t="n">
        <v>40972</v>
      </c>
    </row>
    <row r="34" customFormat="false" ht="14.25" hidden="false" customHeight="false" outlineLevel="0" collapsed="false">
      <c r="A34" s="4" t="n">
        <v>31</v>
      </c>
      <c r="B34" s="4" t="n">
        <v>32</v>
      </c>
      <c r="C34" s="4" t="s">
        <v>100</v>
      </c>
      <c r="D34" s="4" t="s">
        <v>101</v>
      </c>
      <c r="E34" s="4" t="s">
        <v>30</v>
      </c>
      <c r="F34" s="4" t="s">
        <v>102</v>
      </c>
      <c r="G34" s="5" t="n">
        <v>265000</v>
      </c>
      <c r="H34" s="6" t="n">
        <v>44391</v>
      </c>
      <c r="I34" s="6" t="n">
        <v>40972</v>
      </c>
    </row>
    <row r="35" customFormat="false" ht="14.25" hidden="false" customHeight="false" outlineLevel="0" collapsed="false">
      <c r="A35" s="4" t="n">
        <v>32</v>
      </c>
      <c r="B35" s="4" t="n">
        <v>33</v>
      </c>
      <c r="C35" s="4" t="s">
        <v>103</v>
      </c>
      <c r="D35" s="4" t="s">
        <v>104</v>
      </c>
      <c r="E35" s="4" t="s">
        <v>30</v>
      </c>
      <c r="F35" s="4" t="s">
        <v>42</v>
      </c>
      <c r="G35" s="5" t="n">
        <v>275000</v>
      </c>
      <c r="H35" s="6" t="n">
        <v>44391</v>
      </c>
      <c r="I35" s="6" t="n">
        <v>40972</v>
      </c>
    </row>
    <row r="36" customFormat="false" ht="14.25" hidden="false" customHeight="false" outlineLevel="0" collapsed="false">
      <c r="A36" s="4" t="n">
        <v>33</v>
      </c>
      <c r="B36" s="4" t="n">
        <v>34</v>
      </c>
      <c r="C36" s="4" t="s">
        <v>105</v>
      </c>
      <c r="D36" s="4" t="s">
        <v>106</v>
      </c>
      <c r="E36" s="4" t="s">
        <v>59</v>
      </c>
      <c r="F36" s="4" t="s">
        <v>107</v>
      </c>
      <c r="G36" s="5" t="n">
        <v>285000</v>
      </c>
      <c r="H36" s="6" t="n">
        <v>44391</v>
      </c>
      <c r="I36" s="6" t="n">
        <v>40972</v>
      </c>
    </row>
    <row r="37" customFormat="false" ht="14.25" hidden="false" customHeight="false" outlineLevel="0" collapsed="false">
      <c r="A37" s="4" t="n">
        <v>34</v>
      </c>
      <c r="B37" s="4" t="n">
        <v>35</v>
      </c>
      <c r="C37" s="4" t="s">
        <v>108</v>
      </c>
      <c r="D37" s="4" t="s">
        <v>109</v>
      </c>
      <c r="E37" s="4" t="s">
        <v>30</v>
      </c>
      <c r="F37" s="4" t="s">
        <v>110</v>
      </c>
      <c r="G37" s="5" t="n">
        <v>295000</v>
      </c>
      <c r="H37" s="6" t="n">
        <v>44391</v>
      </c>
      <c r="I37" s="6" t="n">
        <v>40972</v>
      </c>
    </row>
    <row r="38" customFormat="false" ht="14.25" hidden="false" customHeight="false" outlineLevel="0" collapsed="false">
      <c r="A38" s="4" t="n">
        <v>35</v>
      </c>
      <c r="B38" s="4" t="n">
        <v>36</v>
      </c>
      <c r="C38" s="4" t="s">
        <v>110</v>
      </c>
      <c r="D38" s="4" t="s">
        <v>111</v>
      </c>
      <c r="E38" s="4" t="s">
        <v>30</v>
      </c>
      <c r="F38" s="4" t="s">
        <v>42</v>
      </c>
      <c r="G38" s="5" t="n">
        <v>305000</v>
      </c>
      <c r="H38" s="6" t="n">
        <v>44391</v>
      </c>
      <c r="I38" s="6" t="n">
        <v>40972</v>
      </c>
    </row>
    <row r="39" customFormat="false" ht="14.25" hidden="false" customHeight="false" outlineLevel="0" collapsed="false">
      <c r="A39" s="4" t="n">
        <v>36</v>
      </c>
      <c r="B39" s="4" t="n">
        <v>37</v>
      </c>
      <c r="C39" s="4" t="s">
        <v>107</v>
      </c>
      <c r="D39" s="4" t="s">
        <v>112</v>
      </c>
      <c r="E39" s="4" t="s">
        <v>59</v>
      </c>
      <c r="F39" s="4" t="s">
        <v>113</v>
      </c>
      <c r="G39" s="5" t="n">
        <v>315000</v>
      </c>
      <c r="H39" s="6" t="n">
        <v>44391</v>
      </c>
      <c r="I39" s="6" t="n">
        <v>40972</v>
      </c>
    </row>
    <row r="40" customFormat="false" ht="14.25" hidden="false" customHeight="false" outlineLevel="0" collapsed="false">
      <c r="A40" s="4" t="n">
        <v>37</v>
      </c>
      <c r="B40" s="4" t="n">
        <v>38</v>
      </c>
      <c r="C40" s="4" t="s">
        <v>114</v>
      </c>
      <c r="D40" s="4" t="s">
        <v>115</v>
      </c>
      <c r="E40" s="4" t="s">
        <v>59</v>
      </c>
      <c r="F40" s="4" t="s">
        <v>42</v>
      </c>
      <c r="G40" s="5" t="n">
        <v>325000</v>
      </c>
      <c r="H40" s="6" t="n">
        <v>44391</v>
      </c>
      <c r="I40" s="6" t="n">
        <v>40972</v>
      </c>
    </row>
    <row r="41" customFormat="false" ht="14.25" hidden="false" customHeight="false" outlineLevel="0" collapsed="false">
      <c r="A41" s="4" t="n">
        <v>38</v>
      </c>
      <c r="B41" s="4" t="n">
        <v>39</v>
      </c>
      <c r="C41" s="4" t="s">
        <v>116</v>
      </c>
      <c r="D41" s="4" t="s">
        <v>117</v>
      </c>
      <c r="E41" s="4" t="s">
        <v>30</v>
      </c>
      <c r="F41" s="4" t="s">
        <v>118</v>
      </c>
      <c r="G41" s="5" t="n">
        <v>335000</v>
      </c>
      <c r="H41" s="6" t="n">
        <v>44391</v>
      </c>
      <c r="I41" s="6" t="n">
        <v>40972</v>
      </c>
    </row>
    <row r="42" customFormat="false" ht="14.25" hidden="false" customHeight="false" outlineLevel="0" collapsed="false">
      <c r="A42" s="4" t="n">
        <v>39</v>
      </c>
      <c r="B42" s="4" t="n">
        <v>40</v>
      </c>
      <c r="C42" s="4" t="s">
        <v>119</v>
      </c>
      <c r="D42" s="4" t="s">
        <v>120</v>
      </c>
      <c r="E42" s="4" t="s">
        <v>59</v>
      </c>
      <c r="F42" s="4" t="s">
        <v>121</v>
      </c>
      <c r="G42" s="5" t="n">
        <v>345000</v>
      </c>
      <c r="H42" s="6" t="n">
        <v>44391</v>
      </c>
      <c r="I42" s="6" t="n">
        <v>40972</v>
      </c>
    </row>
    <row r="43" customFormat="false" ht="14.25" hidden="false" customHeight="false" outlineLevel="0" collapsed="false">
      <c r="A43" s="4" t="n">
        <v>40</v>
      </c>
      <c r="B43" s="4" t="n">
        <v>41</v>
      </c>
      <c r="C43" s="4" t="s">
        <v>121</v>
      </c>
      <c r="D43" s="4" t="s">
        <v>122</v>
      </c>
      <c r="E43" s="4" t="s">
        <v>59</v>
      </c>
      <c r="F43" s="4" t="s">
        <v>123</v>
      </c>
      <c r="G43" s="5" t="n">
        <v>355000</v>
      </c>
      <c r="H43" s="6" t="n">
        <v>44391</v>
      </c>
      <c r="I43" s="6" t="n">
        <v>40972</v>
      </c>
    </row>
    <row r="44" customFormat="false" ht="14.25" hidden="false" customHeight="false" outlineLevel="0" collapsed="false">
      <c r="A44" s="4" t="n">
        <v>41</v>
      </c>
      <c r="B44" s="4" t="n">
        <v>42</v>
      </c>
      <c r="C44" s="4" t="s">
        <v>124</v>
      </c>
      <c r="D44" s="4" t="s">
        <v>125</v>
      </c>
      <c r="E44" s="4" t="s">
        <v>30</v>
      </c>
      <c r="F44" s="4" t="s">
        <v>126</v>
      </c>
      <c r="G44" s="5" t="n">
        <v>365000</v>
      </c>
      <c r="H44" s="6" t="n">
        <v>44391</v>
      </c>
      <c r="I44" s="6" t="n">
        <v>40972</v>
      </c>
    </row>
    <row r="45" customFormat="false" ht="14.25" hidden="false" customHeight="false" outlineLevel="0" collapsed="false">
      <c r="A45" s="4" t="n">
        <v>42</v>
      </c>
      <c r="B45" s="4" t="n">
        <v>43</v>
      </c>
      <c r="C45" s="4" t="s">
        <v>127</v>
      </c>
      <c r="D45" s="4" t="s">
        <v>128</v>
      </c>
      <c r="E45" s="4" t="s">
        <v>59</v>
      </c>
      <c r="F45" s="4" t="s">
        <v>129</v>
      </c>
      <c r="G45" s="5" t="n">
        <v>375000</v>
      </c>
      <c r="H45" s="6" t="n">
        <v>44391</v>
      </c>
      <c r="I45" s="6" t="n">
        <v>40972</v>
      </c>
    </row>
    <row r="46" customFormat="false" ht="14.25" hidden="false" customHeight="false" outlineLevel="0" collapsed="false">
      <c r="A46" s="4" t="n">
        <v>43</v>
      </c>
      <c r="B46" s="4" t="n">
        <v>44</v>
      </c>
      <c r="C46" s="4" t="s">
        <v>130</v>
      </c>
      <c r="D46" s="4" t="s">
        <v>131</v>
      </c>
      <c r="E46" s="4" t="s">
        <v>30</v>
      </c>
      <c r="F46" s="4" t="s">
        <v>132</v>
      </c>
      <c r="G46" s="5" t="n">
        <v>395000</v>
      </c>
      <c r="H46" s="7" t="n">
        <v>44391</v>
      </c>
      <c r="I46" s="7" t="n">
        <v>43862</v>
      </c>
    </row>
    <row r="47" customFormat="false" ht="14.25" hidden="false" customHeight="false" outlineLevel="0" collapsed="false">
      <c r="A47" s="4" t="n">
        <v>43</v>
      </c>
      <c r="B47" s="4" t="n">
        <v>44</v>
      </c>
      <c r="C47" s="4" t="s">
        <v>130</v>
      </c>
      <c r="D47" s="4" t="s">
        <v>131</v>
      </c>
      <c r="E47" s="4" t="s">
        <v>30</v>
      </c>
      <c r="F47" s="4" t="s">
        <v>132</v>
      </c>
      <c r="G47" s="5" t="n">
        <v>395000</v>
      </c>
      <c r="H47" s="7" t="n">
        <v>44391</v>
      </c>
      <c r="I47" s="7" t="n">
        <v>43862</v>
      </c>
    </row>
    <row r="48" customFormat="false" ht="14.25" hidden="false" customHeight="false" outlineLevel="0" collapsed="false">
      <c r="A48" s="4" t="n">
        <v>44</v>
      </c>
      <c r="B48" s="4" t="n">
        <v>45</v>
      </c>
      <c r="C48" s="4" t="s">
        <v>133</v>
      </c>
      <c r="D48" s="4" t="s">
        <v>134</v>
      </c>
      <c r="E48" s="4" t="s">
        <v>135</v>
      </c>
      <c r="F48" s="4" t="s">
        <v>136</v>
      </c>
      <c r="G48" s="5" t="n">
        <v>405000</v>
      </c>
      <c r="H48" s="7" t="n">
        <v>44391</v>
      </c>
      <c r="I48" s="7" t="n">
        <v>43862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8"/>
  <sheetViews>
    <sheetView showFormulas="false" showGridLines="true" showRowColHeaders="true" showZeros="true" rightToLeft="false" tabSelected="true" showOutlineSymbols="true" defaultGridColor="true" view="normal" topLeftCell="A1" colorId="64" zoomScale="72" zoomScaleNormal="72" zoomScalePageLayoutView="100" workbookViewId="0">
      <selection pane="topLeft" activeCell="B4" activeCellId="0" sqref="B4"/>
    </sheetView>
  </sheetViews>
  <sheetFormatPr defaultColWidth="11.53515625" defaultRowHeight="13.8" customHeight="false" zeroHeight="false" outlineLevelRow="0" outlineLevelCol="0"/>
  <cols>
    <col collapsed="false" customWidth="true" hidden="false" outlineLevel="0" max="1" min="1" style="4" width="8.74"/>
    <col collapsed="false" customWidth="true" hidden="false" outlineLevel="0" max="2" min="2" style="0" width="23.56"/>
    <col collapsed="false" customWidth="true" hidden="false" outlineLevel="0" max="3" min="3" style="4" width="21.88"/>
    <col collapsed="false" customWidth="true" hidden="false" outlineLevel="0" max="4" min="4" style="4" width="71.54"/>
    <col collapsed="false" customWidth="true" hidden="false" outlineLevel="0" max="5" min="5" style="4" width="66.71"/>
    <col collapsed="false" customWidth="true" hidden="false" outlineLevel="0" max="6" min="6" style="4" width="41.01"/>
    <col collapsed="false" customWidth="true" hidden="false" outlineLevel="0" max="7" min="7" style="4" width="21.88"/>
    <col collapsed="false" customWidth="true" hidden="false" outlineLevel="0" max="8" min="8" style="4" width="22.85"/>
    <col collapsed="false" customWidth="true" hidden="false" outlineLevel="0" max="9" min="9" style="4" width="22.16"/>
    <col collapsed="false" customWidth="true" hidden="false" outlineLevel="0" max="10" min="10" style="8" width="9.13"/>
    <col collapsed="false" customWidth="true" hidden="false" outlineLevel="0" max="11" min="11" style="6" width="16.09"/>
    <col collapsed="false" customWidth="true" hidden="false" outlineLevel="0" max="12" min="12" style="6" width="15.51"/>
  </cols>
  <sheetData>
    <row r="1" customFormat="false" ht="13.8" hidden="false" customHeight="false" outlineLevel="0" collapsed="false">
      <c r="A1" s="9" t="s">
        <v>0</v>
      </c>
      <c r="B1" s="2" t="s">
        <v>1</v>
      </c>
      <c r="C1" s="9" t="s">
        <v>137</v>
      </c>
      <c r="D1" s="9" t="s">
        <v>2</v>
      </c>
      <c r="E1" s="9" t="s">
        <v>138</v>
      </c>
      <c r="F1" s="9" t="s">
        <v>3</v>
      </c>
      <c r="G1" s="9" t="s">
        <v>139</v>
      </c>
      <c r="H1" s="9" t="s">
        <v>4</v>
      </c>
      <c r="I1" s="9" t="s">
        <v>140</v>
      </c>
      <c r="J1" s="10" t="s">
        <v>5</v>
      </c>
      <c r="K1" s="11" t="s">
        <v>6</v>
      </c>
      <c r="L1" s="11" t="s">
        <v>7</v>
      </c>
      <c r="M1" s="2"/>
      <c r="N1" s="2"/>
      <c r="P1" s="2"/>
    </row>
    <row r="2" customFormat="false" ht="13.8" hidden="false" customHeight="false" outlineLevel="0" collapsed="false">
      <c r="A2" s="4" t="n">
        <v>1</v>
      </c>
      <c r="B2" s="4" t="s">
        <v>8</v>
      </c>
      <c r="C2" s="4" t="str">
        <f aca="false">TRIM(PROPER(B2))</f>
        <v>George Washington</v>
      </c>
      <c r="D2" s="4" t="s">
        <v>9</v>
      </c>
      <c r="E2" s="4" t="str">
        <f aca="false">TRIM(SUBSTITUTE(SUBSTITUTE(SUBSTITUTE(D2,"â€“","-"), "( ", "("), " )", ")"))</f>
        <v>Commander-in-Chief of the Continental Army (1775-1783)</v>
      </c>
      <c r="F2" s="4" t="s">
        <v>10</v>
      </c>
      <c r="G2" s="4" t="s">
        <v>10</v>
      </c>
      <c r="H2" s="4" t="s">
        <v>11</v>
      </c>
      <c r="I2" s="4" t="str">
        <f aca="false">PROPER(TRIM(H2))</f>
        <v>John Adams</v>
      </c>
      <c r="J2" s="8" t="n">
        <v>5000</v>
      </c>
      <c r="K2" s="6" t="n">
        <v>44391</v>
      </c>
      <c r="L2" s="6" t="n">
        <v>40972</v>
      </c>
    </row>
    <row r="3" customFormat="false" ht="13.8" hidden="false" customHeight="false" outlineLevel="0" collapsed="false">
      <c r="A3" s="4" t="n">
        <v>2</v>
      </c>
      <c r="B3" s="4" t="s">
        <v>12</v>
      </c>
      <c r="C3" s="4" t="str">
        <f aca="false">TRIM(PROPER(B3))</f>
        <v>John Adams</v>
      </c>
      <c r="D3" s="4" t="s">
        <v>13</v>
      </c>
      <c r="E3" s="4" t="str">
        <f aca="false">TRIM(SUBSTITUTE(SUBSTITUTE(SUBSTITUTE(D3,"â€“","-"), "( ", "("), " )", ")"))</f>
        <v>1st Vice President of the United States</v>
      </c>
      <c r="F3" s="4" t="s">
        <v>14</v>
      </c>
      <c r="G3" s="4" t="s">
        <v>14</v>
      </c>
      <c r="H3" s="4" t="s">
        <v>15</v>
      </c>
      <c r="I3" s="4" t="str">
        <f aca="false">PROPER(TRIM(H3))</f>
        <v>Thomas Jefferson</v>
      </c>
      <c r="J3" s="8" t="n">
        <v>10000</v>
      </c>
      <c r="K3" s="6" t="n">
        <v>44391</v>
      </c>
      <c r="L3" s="6" t="n">
        <v>40972</v>
      </c>
    </row>
    <row r="4" customFormat="false" ht="13.8" hidden="false" customHeight="false" outlineLevel="0" collapsed="false">
      <c r="A4" s="4" t="n">
        <v>3</v>
      </c>
      <c r="B4" s="4" t="s">
        <v>15</v>
      </c>
      <c r="C4" s="4" t="str">
        <f aca="false">TRIM(PROPER(B4))</f>
        <v>Thomas Jefferson</v>
      </c>
      <c r="D4" s="4" t="s">
        <v>16</v>
      </c>
      <c r="E4" s="4" t="str">
        <f aca="false">TRIM(SUBSTITUTE(SUBSTITUTE(SUBSTITUTE(D4,"â€“","-"), "( ", "("), " )", ")"))</f>
        <v>2nd Vice President of the United States</v>
      </c>
      <c r="F4" s="4" t="s">
        <v>17</v>
      </c>
      <c r="G4" s="4" t="str">
        <f aca="false">SUBSTITUTE(F4,"-  ", "-")</f>
        <v>Democratic-Republican</v>
      </c>
      <c r="H4" s="4" t="s">
        <v>18</v>
      </c>
      <c r="I4" s="4" t="str">
        <f aca="false">PROPER(TRIM(H4))</f>
        <v>Aaron Burr</v>
      </c>
      <c r="J4" s="8" t="n">
        <v>15000</v>
      </c>
      <c r="K4" s="6" t="n">
        <v>44391</v>
      </c>
      <c r="L4" s="6" t="n">
        <v>40972</v>
      </c>
    </row>
    <row r="5" customFormat="false" ht="13.8" hidden="false" customHeight="false" outlineLevel="0" collapsed="false">
      <c r="A5" s="4" t="n">
        <v>4</v>
      </c>
      <c r="B5" s="4" t="s">
        <v>19</v>
      </c>
      <c r="C5" s="4" t="str">
        <f aca="false">TRIM(PROPER(B5))</f>
        <v>James Madison</v>
      </c>
      <c r="D5" s="4" t="s">
        <v>20</v>
      </c>
      <c r="E5" s="4" t="str">
        <f aca="false">TRIM(SUBSTITUTE(SUBSTITUTE(SUBSTITUTE(D5,"â€“","-"), "( ", "("), " )", ")"))</f>
        <v>5th United States Secretary of State (1801-1809)</v>
      </c>
      <c r="F5" s="4" t="s">
        <v>17</v>
      </c>
      <c r="G5" s="4" t="str">
        <f aca="false">SUBSTITUTE(F5,"-  ", "-")</f>
        <v>Democratic-Republican</v>
      </c>
      <c r="H5" s="4" t="s">
        <v>21</v>
      </c>
      <c r="I5" s="4" t="str">
        <f aca="false">PROPER(TRIM(H5))</f>
        <v>George Clinton</v>
      </c>
      <c r="J5" s="8" t="n">
        <v>20000</v>
      </c>
      <c r="K5" s="6" t="n">
        <v>44391</v>
      </c>
      <c r="L5" s="6" t="n">
        <v>40972</v>
      </c>
    </row>
    <row r="6" customFormat="false" ht="13.8" hidden="false" customHeight="false" outlineLevel="0" collapsed="false">
      <c r="A6" s="4" t="n">
        <v>5</v>
      </c>
      <c r="B6" s="4" t="s">
        <v>22</v>
      </c>
      <c r="C6" s="4" t="str">
        <f aca="false">TRIM(PROPER(B6))</f>
        <v>James Monroe</v>
      </c>
      <c r="D6" s="4" t="s">
        <v>23</v>
      </c>
      <c r="E6" s="4" t="str">
        <f aca="false">TRIM(SUBSTITUTE(SUBSTITUTE(SUBSTITUTE(D6,"â€“","-"), "( ", "("), " )", ")"))</f>
        <v>7th United States Secretary of State (1811-1817)</v>
      </c>
      <c r="F6" s="4" t="s">
        <v>17</v>
      </c>
      <c r="G6" s="4" t="str">
        <f aca="false">SUBSTITUTE(F6,"-  ", "-")</f>
        <v>Democratic-Republican</v>
      </c>
      <c r="H6" s="4" t="s">
        <v>24</v>
      </c>
      <c r="I6" s="4" t="str">
        <f aca="false">PROPER(TRIM(H6))</f>
        <v>Daniel D. Tompkins</v>
      </c>
      <c r="J6" s="8" t="n">
        <v>25000</v>
      </c>
      <c r="K6" s="6" t="n">
        <v>44391</v>
      </c>
      <c r="L6" s="6" t="n">
        <v>40972</v>
      </c>
    </row>
    <row r="7" customFormat="false" ht="13.8" hidden="false" customHeight="false" outlineLevel="0" collapsed="false">
      <c r="A7" s="4" t="n">
        <v>6</v>
      </c>
      <c r="B7" s="4" t="s">
        <v>25</v>
      </c>
      <c r="C7" s="4" t="str">
        <f aca="false">TRIM(PROPER(B7))</f>
        <v>John Quincy Adams</v>
      </c>
      <c r="D7" s="4" t="s">
        <v>26</v>
      </c>
      <c r="E7" s="4" t="str">
        <f aca="false">TRIM(SUBSTITUTE(SUBSTITUTE(SUBSTITUTE(D7,"â€“","-"), "( ", "("), " )", ")"))</f>
        <v>8th United States Secretary of State (1817-1825)</v>
      </c>
      <c r="F7" s="4" t="s">
        <v>17</v>
      </c>
      <c r="G7" s="4" t="str">
        <f aca="false">SUBSTITUTE(F7,"-  ", "-")</f>
        <v>Democratic-Republican</v>
      </c>
      <c r="H7" s="4" t="s">
        <v>27</v>
      </c>
      <c r="I7" s="4" t="str">
        <f aca="false">PROPER(TRIM(H7))</f>
        <v>John C. Calhoun</v>
      </c>
      <c r="J7" s="8" t="n">
        <v>30000</v>
      </c>
      <c r="K7" s="6" t="n">
        <v>44391</v>
      </c>
      <c r="L7" s="6" t="n">
        <v>40972</v>
      </c>
    </row>
    <row r="8" customFormat="false" ht="13.8" hidden="false" customHeight="false" outlineLevel="0" collapsed="false">
      <c r="A8" s="4" t="n">
        <v>7</v>
      </c>
      <c r="B8" s="4" t="s">
        <v>28</v>
      </c>
      <c r="C8" s="4" t="str">
        <f aca="false">TRIM(PROPER(B8))</f>
        <v>Andrew Jackson</v>
      </c>
      <c r="D8" s="4" t="s">
        <v>29</v>
      </c>
      <c r="E8" s="4" t="str">
        <f aca="false">TRIM(SUBSTITUTE(SUBSTITUTE(SUBSTITUTE(D8,"â€“","-"), "( ", "("), " )", ")"))</f>
        <v>U.S. Senator (Class 2) from Tennessee (1823-1825)</v>
      </c>
      <c r="F8" s="4" t="s">
        <v>30</v>
      </c>
      <c r="G8" s="4" t="s">
        <v>30</v>
      </c>
      <c r="H8" s="4" t="s">
        <v>31</v>
      </c>
      <c r="I8" s="4" t="str">
        <f aca="false">PROPER(TRIM(H8))</f>
        <v>John C. Calhoun</v>
      </c>
      <c r="J8" s="8" t="n">
        <v>35000</v>
      </c>
      <c r="K8" s="6" t="n">
        <v>44391</v>
      </c>
      <c r="L8" s="6" t="n">
        <v>40972</v>
      </c>
    </row>
    <row r="9" customFormat="false" ht="13.8" hidden="false" customHeight="false" outlineLevel="0" collapsed="false">
      <c r="A9" s="4" t="n">
        <v>8</v>
      </c>
      <c r="B9" s="4" t="s">
        <v>32</v>
      </c>
      <c r="C9" s="4" t="str">
        <f aca="false">TRIM(PROPER(B9))</f>
        <v>Martin Van Buren</v>
      </c>
      <c r="D9" s="4" t="s">
        <v>33</v>
      </c>
      <c r="E9" s="4" t="str">
        <f aca="false">TRIM(SUBSTITUTE(SUBSTITUTE(SUBSTITUTE(D9,"â€“","-"), "( ", "("), " )", ")"))</f>
        <v>8th Vice President of the United States</v>
      </c>
      <c r="F9" s="4" t="s">
        <v>30</v>
      </c>
      <c r="G9" s="4" t="s">
        <v>30</v>
      </c>
      <c r="H9" s="4" t="s">
        <v>34</v>
      </c>
      <c r="I9" s="4" t="str">
        <f aca="false">PROPER(TRIM(H9))</f>
        <v>Richard Mentor Johnson</v>
      </c>
      <c r="J9" s="8" t="n">
        <v>40000</v>
      </c>
      <c r="K9" s="6" t="n">
        <v>44391</v>
      </c>
      <c r="L9" s="6" t="n">
        <v>40972</v>
      </c>
    </row>
    <row r="10" customFormat="false" ht="13.8" hidden="false" customHeight="false" outlineLevel="0" collapsed="false">
      <c r="A10" s="4" t="n">
        <v>9</v>
      </c>
      <c r="B10" s="4" t="s">
        <v>35</v>
      </c>
      <c r="C10" s="4" t="str">
        <f aca="false">TRIM(PROPER(B10))</f>
        <v>William Henry Harrison</v>
      </c>
      <c r="D10" s="4" t="s">
        <v>36</v>
      </c>
      <c r="E10" s="4" t="str">
        <f aca="false">TRIM(SUBSTITUTE(SUBSTITUTE(SUBSTITUTE(D10,"â€“","-"), "( ", "("), " )", ")"))</f>
        <v>United States Minister to Colombia (1828-1829)</v>
      </c>
      <c r="F10" s="4" t="s">
        <v>37</v>
      </c>
      <c r="G10" s="4" t="s">
        <v>37</v>
      </c>
      <c r="H10" s="4" t="s">
        <v>38</v>
      </c>
      <c r="I10" s="4" t="str">
        <f aca="false">PROPER(TRIM(H10))</f>
        <v>John Tyler</v>
      </c>
      <c r="J10" s="8" t="n">
        <v>45000</v>
      </c>
      <c r="K10" s="6" t="n">
        <v>44391</v>
      </c>
      <c r="L10" s="6" t="n">
        <v>40972</v>
      </c>
    </row>
    <row r="11" customFormat="false" ht="13.8" hidden="false" customHeight="false" outlineLevel="0" collapsed="false">
      <c r="A11" s="4" t="n">
        <v>10</v>
      </c>
      <c r="B11" s="4" t="s">
        <v>39</v>
      </c>
      <c r="C11" s="4" t="str">
        <f aca="false">TRIM(PROPER(B11))</f>
        <v>John Tyler</v>
      </c>
      <c r="D11" s="4" t="s">
        <v>40</v>
      </c>
      <c r="E11" s="4" t="str">
        <f aca="false">TRIM(SUBSTITUTE(SUBSTITUTE(SUBSTITUTE(D11,"â€“","-"), "( ", "("), " )", ")"))</f>
        <v>10th Vice President of the United States</v>
      </c>
      <c r="F11" s="4" t="s">
        <v>41</v>
      </c>
      <c r="G11" s="4" t="s">
        <v>37</v>
      </c>
      <c r="H11" s="4" t="s">
        <v>42</v>
      </c>
      <c r="I11" s="4" t="str">
        <f aca="false">PROPER(TRIM(H11))</f>
        <v>Office Vacant</v>
      </c>
      <c r="J11" s="8" t="n">
        <v>50000</v>
      </c>
      <c r="K11" s="6" t="n">
        <v>44391</v>
      </c>
      <c r="L11" s="6" t="n">
        <v>40972</v>
      </c>
    </row>
    <row r="12" customFormat="false" ht="13.8" hidden="false" customHeight="false" outlineLevel="0" collapsed="false">
      <c r="A12" s="4" t="n">
        <v>11</v>
      </c>
      <c r="B12" s="4" t="s">
        <v>43</v>
      </c>
      <c r="C12" s="4" t="str">
        <f aca="false">TRIM(PROPER(B12))</f>
        <v>James K. Polk</v>
      </c>
      <c r="D12" s="4" t="s">
        <v>44</v>
      </c>
      <c r="E12" s="4" t="str">
        <f aca="false">TRIM(SUBSTITUTE(SUBSTITUTE(SUBSTITUTE(D12,"â€“","-"), "( ", "("), " )", ")"))</f>
        <v>9th Governor of Tennessee (1839-1841)</v>
      </c>
      <c r="F12" s="4" t="s">
        <v>30</v>
      </c>
      <c r="G12" s="4" t="s">
        <v>30</v>
      </c>
      <c r="H12" s="4" t="s">
        <v>45</v>
      </c>
      <c r="I12" s="4" t="str">
        <f aca="false">PROPER(TRIM(H12))</f>
        <v>George M. Dallas</v>
      </c>
      <c r="J12" s="8" t="n">
        <v>55000</v>
      </c>
      <c r="K12" s="6" t="n">
        <v>44391</v>
      </c>
      <c r="L12" s="6" t="n">
        <v>40972</v>
      </c>
    </row>
    <row r="13" customFormat="false" ht="13.8" hidden="false" customHeight="false" outlineLevel="0" collapsed="false">
      <c r="A13" s="4" t="n">
        <v>12</v>
      </c>
      <c r="B13" s="4" t="s">
        <v>46</v>
      </c>
      <c r="C13" s="4" t="str">
        <f aca="false">TRIM(PROPER(B13))</f>
        <v>Zachary Taylor</v>
      </c>
      <c r="D13" s="4" t="s">
        <v>47</v>
      </c>
      <c r="E13" s="4" t="str">
        <f aca="false">TRIM(SUBSTITUTE(SUBSTITUTE(SUBSTITUTE(D13,"â€“","-"), "( ", "("), " )", ")"))</f>
        <v>Major General of the 1st Infantry Regiment United States Army (1846-1849)</v>
      </c>
      <c r="F13" s="4" t="s">
        <v>37</v>
      </c>
      <c r="G13" s="4" t="s">
        <v>37</v>
      </c>
      <c r="H13" s="4" t="s">
        <v>48</v>
      </c>
      <c r="I13" s="4" t="str">
        <f aca="false">PROPER(TRIM(H13))</f>
        <v>Millard Fillmore</v>
      </c>
      <c r="J13" s="8" t="n">
        <v>60000</v>
      </c>
      <c r="K13" s="6" t="n">
        <v>44391</v>
      </c>
      <c r="L13" s="6" t="n">
        <v>40972</v>
      </c>
    </row>
    <row r="14" customFormat="false" ht="13.8" hidden="false" customHeight="false" outlineLevel="0" collapsed="false">
      <c r="A14" s="4" t="n">
        <v>13</v>
      </c>
      <c r="B14" s="4" t="s">
        <v>49</v>
      </c>
      <c r="C14" s="4" t="str">
        <f aca="false">TRIM(PROPER(B14))</f>
        <v>Millard Fillmore</v>
      </c>
      <c r="D14" s="4" t="s">
        <v>50</v>
      </c>
      <c r="E14" s="4" t="str">
        <f aca="false">TRIM(SUBSTITUTE(SUBSTITUTE(SUBSTITUTE(D14,"â€“","-"), "( ", "("), " )", ")"))</f>
        <v>12th Vice President of the United States</v>
      </c>
      <c r="F14" s="4" t="s">
        <v>37</v>
      </c>
      <c r="G14" s="4" t="s">
        <v>37</v>
      </c>
      <c r="H14" s="4" t="s">
        <v>42</v>
      </c>
      <c r="I14" s="4" t="str">
        <f aca="false">PROPER(TRIM(H14))</f>
        <v>Office Vacant</v>
      </c>
      <c r="J14" s="8" t="n">
        <v>65000</v>
      </c>
      <c r="K14" s="6" t="n">
        <v>44391</v>
      </c>
      <c r="L14" s="6" t="n">
        <v>40972</v>
      </c>
    </row>
    <row r="15" customFormat="false" ht="13.8" hidden="false" customHeight="false" outlineLevel="0" collapsed="false">
      <c r="A15" s="4" t="n">
        <v>14</v>
      </c>
      <c r="B15" s="4" t="s">
        <v>51</v>
      </c>
      <c r="C15" s="4" t="str">
        <f aca="false">TRIM(PROPER(B15))</f>
        <v>Franklin Pierce</v>
      </c>
      <c r="D15" s="4" t="s">
        <v>52</v>
      </c>
      <c r="E15" s="4" t="str">
        <f aca="false">TRIM(SUBSTITUTE(SUBSTITUTE(SUBSTITUTE(D15,"â€“","-"), "( ", "("), " )", ")"))</f>
        <v>Brigadier General of the 9th Infantry United States Army (1847-1848)</v>
      </c>
      <c r="F15" s="4" t="s">
        <v>30</v>
      </c>
      <c r="G15" s="4" t="s">
        <v>30</v>
      </c>
      <c r="H15" s="4" t="s">
        <v>53</v>
      </c>
      <c r="I15" s="4" t="str">
        <f aca="false">PROPER(TRIM(H15))</f>
        <v>William R. King</v>
      </c>
      <c r="J15" s="8" t="n">
        <v>75000</v>
      </c>
      <c r="K15" s="6" t="n">
        <v>44391</v>
      </c>
      <c r="L15" s="6" t="n">
        <v>40972</v>
      </c>
    </row>
    <row r="16" customFormat="false" ht="13.8" hidden="false" customHeight="false" outlineLevel="0" collapsed="false">
      <c r="A16" s="4" t="n">
        <v>15</v>
      </c>
      <c r="B16" s="4" t="s">
        <v>54</v>
      </c>
      <c r="C16" s="4" t="str">
        <f aca="false">TRIM(PROPER(B16))</f>
        <v>James Buchanan</v>
      </c>
      <c r="D16" s="4" t="s">
        <v>55</v>
      </c>
      <c r="E16" s="4" t="str">
        <f aca="false">TRIM(SUBSTITUTE(SUBSTITUTE(SUBSTITUTE(D16,"â€“","-"), "( ", "("), " )", ")"))</f>
        <v>United States Minister to the Court of St James's (1853-1856)</v>
      </c>
      <c r="F16" s="4" t="s">
        <v>30</v>
      </c>
      <c r="G16" s="4" t="s">
        <v>30</v>
      </c>
      <c r="H16" s="4" t="s">
        <v>56</v>
      </c>
      <c r="I16" s="4" t="str">
        <f aca="false">PROPER(TRIM(H16))</f>
        <v>John C. Breckinridge</v>
      </c>
      <c r="J16" s="8" t="n">
        <v>85000</v>
      </c>
      <c r="K16" s="6" t="n">
        <v>44391</v>
      </c>
      <c r="L16" s="6" t="n">
        <v>40972</v>
      </c>
    </row>
    <row r="17" customFormat="false" ht="13.8" hidden="false" customHeight="false" outlineLevel="0" collapsed="false">
      <c r="A17" s="4" t="n">
        <v>16</v>
      </c>
      <c r="B17" s="4" t="s">
        <v>57</v>
      </c>
      <c r="C17" s="4" t="str">
        <f aca="false">TRIM(PROPER(B17))</f>
        <v>Abraham Lincoln</v>
      </c>
      <c r="D17" s="4" t="s">
        <v>58</v>
      </c>
      <c r="E17" s="4" t="str">
        <f aca="false">TRIM(SUBSTITUTE(SUBSTITUTE(SUBSTITUTE(D17,"â€“","-"), "( ", "("), " )", ")"))</f>
        <v>U.S. Representative for Illinois' 7th District (1847-1849)</v>
      </c>
      <c r="F17" s="4" t="s">
        <v>59</v>
      </c>
      <c r="G17" s="4" t="s">
        <v>59</v>
      </c>
      <c r="H17" s="4" t="s">
        <v>60</v>
      </c>
      <c r="I17" s="4" t="str">
        <f aca="false">PROPER(TRIM(H17))</f>
        <v>Hannibal Hamlin</v>
      </c>
      <c r="J17" s="8" t="n">
        <v>95000</v>
      </c>
      <c r="K17" s="6" t="n">
        <v>44391</v>
      </c>
      <c r="L17" s="6" t="n">
        <v>40972</v>
      </c>
    </row>
    <row r="18" customFormat="false" ht="13.8" hidden="false" customHeight="false" outlineLevel="0" collapsed="false">
      <c r="A18" s="4" t="n">
        <v>17</v>
      </c>
      <c r="B18" s="4" t="s">
        <v>61</v>
      </c>
      <c r="C18" s="4" t="str">
        <f aca="false">TRIM(PROPER(B18))</f>
        <v>Andrew Johnson</v>
      </c>
      <c r="D18" s="4" t="s">
        <v>62</v>
      </c>
      <c r="E18" s="4" t="str">
        <f aca="false">TRIM(SUBSTITUTE(SUBSTITUTE(SUBSTITUTE(D18,"â€“","-"), "( ", "("), " )", ")"))</f>
        <v>16th Vice President of the United States</v>
      </c>
      <c r="F18" s="4" t="s">
        <v>30</v>
      </c>
      <c r="G18" s="4" t="s">
        <v>30</v>
      </c>
      <c r="H18" s="4" t="s">
        <v>42</v>
      </c>
      <c r="I18" s="4" t="str">
        <f aca="false">PROPER(TRIM(H18))</f>
        <v>Office Vacant</v>
      </c>
      <c r="J18" s="8" t="n">
        <v>105000</v>
      </c>
      <c r="K18" s="6" t="n">
        <v>44391</v>
      </c>
      <c r="L18" s="6" t="n">
        <v>40972</v>
      </c>
    </row>
    <row r="19" customFormat="false" ht="13.8" hidden="false" customHeight="false" outlineLevel="0" collapsed="false">
      <c r="A19" s="4" t="n">
        <v>18</v>
      </c>
      <c r="B19" s="4" t="s">
        <v>63</v>
      </c>
      <c r="C19" s="4" t="str">
        <f aca="false">TRIM(PROPER(B19))</f>
        <v>Ulysses S. Grant</v>
      </c>
      <c r="D19" s="4" t="s">
        <v>64</v>
      </c>
      <c r="E19" s="4" t="str">
        <f aca="false">TRIM(SUBSTITUTE(SUBSTITUTE(SUBSTITUTE(D19,"â€“","-"), "( ", "("), " )", ")"))</f>
        <v>Commanding General of the U.S. Army (1864-1869)</v>
      </c>
      <c r="F19" s="4" t="s">
        <v>59</v>
      </c>
      <c r="G19" s="4" t="s">
        <v>59</v>
      </c>
      <c r="H19" s="4" t="s">
        <v>65</v>
      </c>
      <c r="I19" s="4" t="str">
        <f aca="false">PROPER(TRIM(H19))</f>
        <v>Schuyler Colfax</v>
      </c>
      <c r="J19" s="8" t="n">
        <v>115000</v>
      </c>
      <c r="K19" s="6" t="n">
        <v>44391</v>
      </c>
      <c r="L19" s="6" t="n">
        <v>40972</v>
      </c>
    </row>
    <row r="20" customFormat="false" ht="13.8" hidden="false" customHeight="false" outlineLevel="0" collapsed="false">
      <c r="A20" s="4" t="n">
        <v>19</v>
      </c>
      <c r="B20" s="4" t="s">
        <v>66</v>
      </c>
      <c r="C20" s="4" t="str">
        <f aca="false">TRIM(PROPER(B20))</f>
        <v>Rutherford B. Hayes</v>
      </c>
      <c r="D20" s="4" t="s">
        <v>67</v>
      </c>
      <c r="E20" s="4" t="str">
        <f aca="false">TRIM(SUBSTITUTE(SUBSTITUTE(SUBSTITUTE(D20,"â€“","-"), "( ", "("), " )", ")"))</f>
        <v>29th &amp; 32nd Governor of Ohio (1868-1872 &amp; 1876-1877)</v>
      </c>
      <c r="F20" s="4" t="s">
        <v>59</v>
      </c>
      <c r="G20" s="4" t="s">
        <v>59</v>
      </c>
      <c r="H20" s="4" t="s">
        <v>68</v>
      </c>
      <c r="I20" s="4" t="str">
        <f aca="false">PROPER(TRIM(H20))</f>
        <v>William A. Wheeler</v>
      </c>
      <c r="J20" s="8" t="n">
        <v>125000</v>
      </c>
      <c r="K20" s="6" t="n">
        <v>44391</v>
      </c>
      <c r="L20" s="6" t="n">
        <v>40972</v>
      </c>
    </row>
    <row r="21" customFormat="false" ht="13.8" hidden="false" customHeight="false" outlineLevel="0" collapsed="false">
      <c r="A21" s="4" t="n">
        <v>20</v>
      </c>
      <c r="B21" s="4" t="s">
        <v>69</v>
      </c>
      <c r="C21" s="4" t="str">
        <f aca="false">TRIM(PROPER(B21))</f>
        <v>James A. Garfield</v>
      </c>
      <c r="D21" s="4" t="s">
        <v>70</v>
      </c>
      <c r="E21" s="4" t="str">
        <f aca="false">TRIM(SUBSTITUTE(SUBSTITUTE(SUBSTITUTE(D21,"â€“","-"), "( ", "("), " )", ")"))</f>
        <v>U.S. Representative for Ohio's 19th District (1863-1881)</v>
      </c>
      <c r="F21" s="4" t="s">
        <v>59</v>
      </c>
      <c r="G21" s="4" t="s">
        <v>59</v>
      </c>
      <c r="H21" s="4" t="s">
        <v>71</v>
      </c>
      <c r="I21" s="4" t="str">
        <f aca="false">PROPER(TRIM(H21))</f>
        <v>Chester A. Arthur</v>
      </c>
      <c r="J21" s="8" t="n">
        <v>135000</v>
      </c>
      <c r="K21" s="6" t="n">
        <v>44391</v>
      </c>
      <c r="L21" s="6" t="n">
        <v>40972</v>
      </c>
    </row>
    <row r="22" customFormat="false" ht="13.8" hidden="false" customHeight="false" outlineLevel="0" collapsed="false">
      <c r="A22" s="4" t="n">
        <v>21</v>
      </c>
      <c r="B22" s="4" t="s">
        <v>71</v>
      </c>
      <c r="C22" s="4" t="str">
        <f aca="false">TRIM(PROPER(B22))</f>
        <v>Chester A. Arthur</v>
      </c>
      <c r="D22" s="4" t="s">
        <v>72</v>
      </c>
      <c r="E22" s="4" t="str">
        <f aca="false">TRIM(SUBSTITUTE(SUBSTITUTE(SUBSTITUTE(D22,"â€“","-"), "( ", "("), " )", ")"))</f>
        <v>20th Vice President of the United States</v>
      </c>
      <c r="F22" s="4" t="s">
        <v>59</v>
      </c>
      <c r="G22" s="4" t="s">
        <v>59</v>
      </c>
      <c r="H22" s="4" t="s">
        <v>42</v>
      </c>
      <c r="I22" s="4" t="str">
        <f aca="false">PROPER(TRIM(H22))</f>
        <v>Office Vacant</v>
      </c>
      <c r="J22" s="8" t="n">
        <v>145000</v>
      </c>
      <c r="K22" s="6" t="n">
        <v>44391</v>
      </c>
      <c r="L22" s="6" t="n">
        <v>40972</v>
      </c>
    </row>
    <row r="23" customFormat="false" ht="13.8" hidden="false" customHeight="false" outlineLevel="0" collapsed="false">
      <c r="A23" s="4" t="n">
        <v>22</v>
      </c>
      <c r="B23" s="4" t="s">
        <v>73</v>
      </c>
      <c r="C23" s="4" t="str">
        <f aca="false">TRIM(PROPER(B23))</f>
        <v>Grover Cleveland</v>
      </c>
      <c r="D23" s="4" t="s">
        <v>74</v>
      </c>
      <c r="E23" s="4" t="str">
        <f aca="false">TRIM(SUBSTITUTE(SUBSTITUTE(SUBSTITUTE(D23,"â€“","-"), "( ", "("), " )", ")"))</f>
        <v>28th Governor of New York (1883-1885)</v>
      </c>
      <c r="F23" s="4" t="s">
        <v>30</v>
      </c>
      <c r="G23" s="4" t="s">
        <v>30</v>
      </c>
      <c r="H23" s="4" t="s">
        <v>75</v>
      </c>
      <c r="I23" s="4" t="str">
        <f aca="false">PROPER(TRIM(H23))</f>
        <v>Thomas A. Hendricks</v>
      </c>
      <c r="J23" s="8" t="n">
        <v>155000</v>
      </c>
      <c r="K23" s="6" t="n">
        <v>44391</v>
      </c>
      <c r="L23" s="6" t="n">
        <v>40972</v>
      </c>
    </row>
    <row r="24" customFormat="false" ht="13.8" hidden="false" customHeight="false" outlineLevel="0" collapsed="false">
      <c r="A24" s="4" t="n">
        <v>23</v>
      </c>
      <c r="B24" s="4" t="s">
        <v>76</v>
      </c>
      <c r="C24" s="4" t="str">
        <f aca="false">TRIM(PROPER(B24))</f>
        <v>Benjamin Harrison</v>
      </c>
      <c r="D24" s="4" t="s">
        <v>77</v>
      </c>
      <c r="E24" s="4" t="str">
        <f aca="false">TRIM(SUBSTITUTE(SUBSTITUTE(SUBSTITUTE(D24,"â€“","-"), "( ", "("), " )", ")"))</f>
        <v>U.S. Senator (Class 1) from Indiana (1881-1887)</v>
      </c>
      <c r="F24" s="4" t="s">
        <v>59</v>
      </c>
      <c r="G24" s="4" t="s">
        <v>59</v>
      </c>
      <c r="H24" s="4" t="s">
        <v>78</v>
      </c>
      <c r="I24" s="4" t="str">
        <f aca="false">PROPER(TRIM(H24))</f>
        <v>Levi P. Morton</v>
      </c>
      <c r="J24" s="8" t="n">
        <v>165000</v>
      </c>
      <c r="K24" s="6" t="n">
        <v>44391</v>
      </c>
      <c r="L24" s="6" t="n">
        <v>40972</v>
      </c>
    </row>
    <row r="25" customFormat="false" ht="13.8" hidden="false" customHeight="false" outlineLevel="0" collapsed="false">
      <c r="A25" s="4" t="n">
        <v>24</v>
      </c>
      <c r="B25" s="4" t="s">
        <v>73</v>
      </c>
      <c r="C25" s="4" t="str">
        <f aca="false">TRIM(PROPER(B25))</f>
        <v>Grover Cleveland</v>
      </c>
      <c r="D25" s="4" t="s">
        <v>79</v>
      </c>
      <c r="E25" s="4" t="str">
        <f aca="false">TRIM(SUBSTITUTE(SUBSTITUTE(SUBSTITUTE(D25,"â€“","-"), "( ", "("), " )", ")"))</f>
        <v>22nd President of the United States (1885-1889)</v>
      </c>
      <c r="F25" s="4" t="s">
        <v>30</v>
      </c>
      <c r="G25" s="4" t="s">
        <v>30</v>
      </c>
      <c r="H25" s="4" t="s">
        <v>80</v>
      </c>
      <c r="I25" s="4" t="str">
        <f aca="false">PROPER(TRIM(H25))</f>
        <v>Adlai Stevenson</v>
      </c>
      <c r="J25" s="8" t="n">
        <v>175000</v>
      </c>
      <c r="K25" s="6" t="n">
        <v>44391</v>
      </c>
      <c r="L25" s="6" t="n">
        <v>40972</v>
      </c>
    </row>
    <row r="26" customFormat="false" ht="13.8" hidden="false" customHeight="false" outlineLevel="0" collapsed="false">
      <c r="A26" s="4" t="n">
        <v>25</v>
      </c>
      <c r="B26" s="4" t="s">
        <v>81</v>
      </c>
      <c r="C26" s="4" t="str">
        <f aca="false">TRIM(PROPER(B26))</f>
        <v>William Mckinley</v>
      </c>
      <c r="D26" s="4" t="s">
        <v>82</v>
      </c>
      <c r="E26" s="4" t="str">
        <f aca="false">TRIM(SUBSTITUTE(SUBSTITUTE(SUBSTITUTE(D26,"â€“","-"), "( ", "("), " )", ")"))</f>
        <v>39th Governor of Ohio (1892-1896)</v>
      </c>
      <c r="F26" s="4" t="s">
        <v>59</v>
      </c>
      <c r="G26" s="4" t="s">
        <v>59</v>
      </c>
      <c r="H26" s="4" t="s">
        <v>83</v>
      </c>
      <c r="I26" s="4" t="str">
        <f aca="false">PROPER(TRIM(H26))</f>
        <v>Garret Hobart</v>
      </c>
      <c r="J26" s="8" t="n">
        <v>185000</v>
      </c>
      <c r="K26" s="6" t="n">
        <v>44391</v>
      </c>
      <c r="L26" s="6" t="n">
        <v>40972</v>
      </c>
    </row>
    <row r="27" customFormat="false" ht="13.8" hidden="false" customHeight="false" outlineLevel="0" collapsed="false">
      <c r="A27" s="4" t="n">
        <v>26</v>
      </c>
      <c r="B27" s="4" t="s">
        <v>84</v>
      </c>
      <c r="C27" s="4" t="str">
        <f aca="false">TRIM(PROPER(B27))</f>
        <v>Theodore Roosevelt</v>
      </c>
      <c r="D27" s="4" t="s">
        <v>85</v>
      </c>
      <c r="E27" s="4" t="str">
        <f aca="false">TRIM(SUBSTITUTE(SUBSTITUTE(SUBSTITUTE(D27,"â€“","-"), "( ", "("), " )", ")"))</f>
        <v>25th Vice President of the United States</v>
      </c>
      <c r="F27" s="4" t="s">
        <v>59</v>
      </c>
      <c r="G27" s="4" t="s">
        <v>59</v>
      </c>
      <c r="H27" s="4" t="s">
        <v>42</v>
      </c>
      <c r="I27" s="4" t="str">
        <f aca="false">PROPER(TRIM(H27))</f>
        <v>Office Vacant</v>
      </c>
      <c r="J27" s="8" t="n">
        <v>195000</v>
      </c>
      <c r="K27" s="6" t="n">
        <v>44391</v>
      </c>
      <c r="L27" s="6" t="n">
        <v>40972</v>
      </c>
    </row>
    <row r="28" customFormat="false" ht="13.8" hidden="false" customHeight="false" outlineLevel="0" collapsed="false">
      <c r="A28" s="4" t="n">
        <v>27</v>
      </c>
      <c r="B28" s="4" t="s">
        <v>86</v>
      </c>
      <c r="C28" s="4" t="str">
        <f aca="false">TRIM(PROPER(B28))</f>
        <v>William Howard Taft</v>
      </c>
      <c r="D28" s="4" t="s">
        <v>87</v>
      </c>
      <c r="E28" s="4" t="str">
        <f aca="false">TRIM(SUBSTITUTE(SUBSTITUTE(SUBSTITUTE(D28,"â€“","-"), "( ", "("), " )", ")"))</f>
        <v>42nd United States Secretary of War (1904-1908)</v>
      </c>
      <c r="F28" s="4" t="s">
        <v>59</v>
      </c>
      <c r="G28" s="4" t="s">
        <v>59</v>
      </c>
      <c r="H28" s="4" t="s">
        <v>88</v>
      </c>
      <c r="I28" s="4" t="str">
        <f aca="false">PROPER(TRIM(H28))</f>
        <v>James S. Sherman</v>
      </c>
      <c r="J28" s="8" t="n">
        <v>205000</v>
      </c>
      <c r="K28" s="6" t="n">
        <v>44391</v>
      </c>
      <c r="L28" s="6" t="n">
        <v>40972</v>
      </c>
    </row>
    <row r="29" customFormat="false" ht="13.8" hidden="false" customHeight="false" outlineLevel="0" collapsed="false">
      <c r="A29" s="4" t="n">
        <v>28</v>
      </c>
      <c r="B29" s="4" t="s">
        <v>89</v>
      </c>
      <c r="C29" s="4" t="str">
        <f aca="false">TRIM(PROPER(B29))</f>
        <v>Woodrow Wilson</v>
      </c>
      <c r="D29" s="4" t="s">
        <v>90</v>
      </c>
      <c r="E29" s="4" t="str">
        <f aca="false">TRIM(SUBSTITUTE(SUBSTITUTE(SUBSTITUTE(D29,"â€“","-"), "( ", "("), " )", ")"))</f>
        <v>34th Governor of New Jersey (1911-1913)</v>
      </c>
      <c r="F29" s="4" t="s">
        <v>30</v>
      </c>
      <c r="G29" s="4" t="s">
        <v>30</v>
      </c>
      <c r="H29" s="4" t="s">
        <v>91</v>
      </c>
      <c r="I29" s="4" t="str">
        <f aca="false">PROPER(TRIM(H29))</f>
        <v>Thomas R. Marshall</v>
      </c>
      <c r="J29" s="8" t="n">
        <v>225000</v>
      </c>
      <c r="K29" s="6" t="n">
        <v>44391</v>
      </c>
      <c r="L29" s="6" t="n">
        <v>40972</v>
      </c>
    </row>
    <row r="30" customFormat="false" ht="13.8" hidden="false" customHeight="false" outlineLevel="0" collapsed="false">
      <c r="A30" s="4" t="n">
        <v>28</v>
      </c>
      <c r="B30" s="4" t="s">
        <v>89</v>
      </c>
      <c r="C30" s="4" t="str">
        <f aca="false">TRIM(PROPER(B30))</f>
        <v>Woodrow Wilson</v>
      </c>
      <c r="D30" s="4" t="s">
        <v>90</v>
      </c>
      <c r="E30" s="4" t="str">
        <f aca="false">TRIM(SUBSTITUTE(SUBSTITUTE(SUBSTITUTE(D30,"â€“","-"), "( ", "("), " )", ")"))</f>
        <v>34th Governor of New Jersey (1911-1913)</v>
      </c>
      <c r="F30" s="4" t="s">
        <v>92</v>
      </c>
      <c r="G30" s="4" t="s">
        <v>30</v>
      </c>
      <c r="H30" s="4" t="s">
        <v>91</v>
      </c>
      <c r="I30" s="4" t="str">
        <f aca="false">PROPER(TRIM(H30))</f>
        <v>Thomas R. Marshall</v>
      </c>
      <c r="J30" s="8" t="n">
        <v>225000</v>
      </c>
      <c r="K30" s="6" t="n">
        <v>44391</v>
      </c>
      <c r="L30" s="6" t="n">
        <v>40972</v>
      </c>
    </row>
    <row r="31" customFormat="false" ht="13.8" hidden="false" customHeight="false" outlineLevel="0" collapsed="false">
      <c r="A31" s="4" t="n">
        <v>29</v>
      </c>
      <c r="B31" s="4" t="s">
        <v>93</v>
      </c>
      <c r="C31" s="4" t="str">
        <f aca="false">TRIM(PROPER(B31))</f>
        <v>Warren G. Harding</v>
      </c>
      <c r="D31" s="4" t="s">
        <v>94</v>
      </c>
      <c r="E31" s="4" t="str">
        <f aca="false">TRIM(SUBSTITUTE(SUBSTITUTE(SUBSTITUTE(D31,"â€“","-"), "( ", "("), " )", ")"))</f>
        <v>U.S. Senator (Class 3) from Ohio (1915-1921)</v>
      </c>
      <c r="F31" s="4" t="s">
        <v>59</v>
      </c>
      <c r="G31" s="4" t="s">
        <v>59</v>
      </c>
      <c r="H31" s="4" t="s">
        <v>95</v>
      </c>
      <c r="I31" s="4" t="str">
        <f aca="false">PROPER(TRIM(H31))</f>
        <v>Calvin Coolidge</v>
      </c>
      <c r="J31" s="8" t="n">
        <v>235000</v>
      </c>
      <c r="K31" s="6" t="n">
        <v>44391</v>
      </c>
      <c r="L31" s="6" t="n">
        <v>40972</v>
      </c>
    </row>
    <row r="32" customFormat="false" ht="13.8" hidden="false" customHeight="false" outlineLevel="0" collapsed="false">
      <c r="A32" s="4" t="n">
        <v>30</v>
      </c>
      <c r="B32" s="4" t="s">
        <v>95</v>
      </c>
      <c r="C32" s="4" t="str">
        <f aca="false">TRIM(PROPER(B32))</f>
        <v>Calvin Coolidge</v>
      </c>
      <c r="D32" s="4" t="s">
        <v>96</v>
      </c>
      <c r="E32" s="4" t="str">
        <f aca="false">TRIM(SUBSTITUTE(SUBSTITUTE(SUBSTITUTE(D32,"â€“","-"), "( ", "("), " )", ")"))</f>
        <v>29th Vice President of the United States</v>
      </c>
      <c r="F32" s="4" t="s">
        <v>59</v>
      </c>
      <c r="G32" s="4" t="s">
        <v>59</v>
      </c>
      <c r="H32" s="4" t="s">
        <v>42</v>
      </c>
      <c r="I32" s="4" t="str">
        <f aca="false">PROPER(TRIM(H32))</f>
        <v>Office Vacant</v>
      </c>
      <c r="J32" s="8" t="n">
        <v>245000</v>
      </c>
      <c r="K32" s="6" t="n">
        <v>44391</v>
      </c>
      <c r="L32" s="6" t="n">
        <v>40972</v>
      </c>
    </row>
    <row r="33" customFormat="false" ht="13.8" hidden="false" customHeight="false" outlineLevel="0" collapsed="false">
      <c r="A33" s="4" t="n">
        <v>31</v>
      </c>
      <c r="B33" s="4" t="s">
        <v>97</v>
      </c>
      <c r="C33" s="4" t="str">
        <f aca="false">TRIM(PROPER(B33))</f>
        <v>Herbert Hoover</v>
      </c>
      <c r="D33" s="4" t="s">
        <v>98</v>
      </c>
      <c r="E33" s="4" t="str">
        <f aca="false">TRIM(SUBSTITUTE(SUBSTITUTE(SUBSTITUTE(D33,"â€“","-"), "( ", "("), " )", ")"))</f>
        <v>3rd United States Secretary of Commerce (1921-1928)</v>
      </c>
      <c r="F33" s="4" t="s">
        <v>59</v>
      </c>
      <c r="G33" s="4" t="s">
        <v>59</v>
      </c>
      <c r="H33" s="4" t="s">
        <v>99</v>
      </c>
      <c r="I33" s="4" t="str">
        <f aca="false">PROPER(TRIM(H33))</f>
        <v>Charles Curtis</v>
      </c>
      <c r="J33" s="8" t="n">
        <v>255000</v>
      </c>
      <c r="K33" s="6" t="n">
        <v>44391</v>
      </c>
      <c r="L33" s="6" t="n">
        <v>40972</v>
      </c>
    </row>
    <row r="34" customFormat="false" ht="13.8" hidden="false" customHeight="false" outlineLevel="0" collapsed="false">
      <c r="A34" s="4" t="n">
        <v>32</v>
      </c>
      <c r="B34" s="4" t="s">
        <v>100</v>
      </c>
      <c r="C34" s="4" t="str">
        <f aca="false">TRIM(PROPER(B34))</f>
        <v>Franklin D. Roosevelt</v>
      </c>
      <c r="D34" s="4" t="s">
        <v>101</v>
      </c>
      <c r="E34" s="4" t="str">
        <f aca="false">TRIM(SUBSTITUTE(SUBSTITUTE(SUBSTITUTE(D34,"â€“","-"), "( ", "("), " )", ")"))</f>
        <v>44th Governor of New York (1929-1932)</v>
      </c>
      <c r="F34" s="4" t="s">
        <v>30</v>
      </c>
      <c r="G34" s="4" t="s">
        <v>30</v>
      </c>
      <c r="H34" s="4" t="s">
        <v>102</v>
      </c>
      <c r="I34" s="4" t="str">
        <f aca="false">PROPER(TRIM(H34))</f>
        <v>John Nance Garner</v>
      </c>
      <c r="J34" s="8" t="n">
        <v>265000</v>
      </c>
      <c r="K34" s="6" t="n">
        <v>44391</v>
      </c>
      <c r="L34" s="6" t="n">
        <v>40972</v>
      </c>
    </row>
    <row r="35" customFormat="false" ht="13.8" hidden="false" customHeight="false" outlineLevel="0" collapsed="false">
      <c r="A35" s="4" t="n">
        <v>33</v>
      </c>
      <c r="B35" s="4" t="s">
        <v>103</v>
      </c>
      <c r="C35" s="4" t="str">
        <f aca="false">TRIM(PROPER(B35))</f>
        <v>Harry S. Truman</v>
      </c>
      <c r="D35" s="4" t="s">
        <v>104</v>
      </c>
      <c r="E35" s="4" t="str">
        <f aca="false">TRIM(SUBSTITUTE(SUBSTITUTE(SUBSTITUTE(D35,"â€“","-"), "( ", "("), " )", ")"))</f>
        <v>34th Vice President of the United States</v>
      </c>
      <c r="F35" s="4" t="s">
        <v>30</v>
      </c>
      <c r="G35" s="4" t="s">
        <v>30</v>
      </c>
      <c r="H35" s="4" t="s">
        <v>42</v>
      </c>
      <c r="I35" s="4" t="str">
        <f aca="false">PROPER(TRIM(H35))</f>
        <v>Office Vacant</v>
      </c>
      <c r="J35" s="8" t="n">
        <v>275000</v>
      </c>
      <c r="K35" s="6" t="n">
        <v>44391</v>
      </c>
      <c r="L35" s="6" t="n">
        <v>40972</v>
      </c>
    </row>
    <row r="36" customFormat="false" ht="13.8" hidden="false" customHeight="false" outlineLevel="0" collapsed="false">
      <c r="A36" s="4" t="n">
        <v>34</v>
      </c>
      <c r="B36" s="4" t="s">
        <v>105</v>
      </c>
      <c r="C36" s="4" t="str">
        <f aca="false">TRIM(PROPER(B36))</f>
        <v>Dwight D. Eisenhower</v>
      </c>
      <c r="D36" s="4" t="s">
        <v>106</v>
      </c>
      <c r="E36" s="4" t="str">
        <f aca="false">TRIM(SUBSTITUTE(SUBSTITUTE(SUBSTITUTE(D36,"â€“","-"), "( ", "("), " )", ")"))</f>
        <v>Supreme Allied Commander Europe (1949-1952)</v>
      </c>
      <c r="F36" s="4" t="s">
        <v>59</v>
      </c>
      <c r="G36" s="4" t="s">
        <v>59</v>
      </c>
      <c r="H36" s="4" t="s">
        <v>107</v>
      </c>
      <c r="I36" s="4" t="str">
        <f aca="false">PROPER(TRIM(H36))</f>
        <v>Richard Nixon</v>
      </c>
      <c r="J36" s="8" t="n">
        <v>285000</v>
      </c>
      <c r="K36" s="6" t="n">
        <v>44391</v>
      </c>
      <c r="L36" s="6" t="n">
        <v>40972</v>
      </c>
    </row>
    <row r="37" customFormat="false" ht="13.8" hidden="false" customHeight="false" outlineLevel="0" collapsed="false">
      <c r="A37" s="4" t="n">
        <v>35</v>
      </c>
      <c r="B37" s="4" t="s">
        <v>108</v>
      </c>
      <c r="C37" s="4" t="str">
        <f aca="false">TRIM(PROPER(B37))</f>
        <v>John F. Kennedy</v>
      </c>
      <c r="D37" s="4" t="s">
        <v>109</v>
      </c>
      <c r="E37" s="4" t="str">
        <f aca="false">TRIM(SUBSTITUTE(SUBSTITUTE(SUBSTITUTE(D37,"â€“","-"), "( ", "("), " )", ")"))</f>
        <v>U.S. Senator (Class 1) from Massachusetts (1953-1960)</v>
      </c>
      <c r="F37" s="4" t="s">
        <v>30</v>
      </c>
      <c r="G37" s="4" t="s">
        <v>30</v>
      </c>
      <c r="H37" s="4" t="s">
        <v>110</v>
      </c>
      <c r="I37" s="4" t="str">
        <f aca="false">PROPER(TRIM(H37))</f>
        <v>Lyndon B. Johnson</v>
      </c>
      <c r="J37" s="8" t="n">
        <v>295000</v>
      </c>
      <c r="K37" s="6" t="n">
        <v>44391</v>
      </c>
      <c r="L37" s="6" t="n">
        <v>40972</v>
      </c>
    </row>
    <row r="38" customFormat="false" ht="13.8" hidden="false" customHeight="false" outlineLevel="0" collapsed="false">
      <c r="A38" s="4" t="n">
        <v>36</v>
      </c>
      <c r="B38" s="4" t="s">
        <v>110</v>
      </c>
      <c r="C38" s="4" t="str">
        <f aca="false">TRIM(PROPER(B38))</f>
        <v>Lyndon B. Johnson</v>
      </c>
      <c r="D38" s="4" t="s">
        <v>111</v>
      </c>
      <c r="E38" s="4" t="str">
        <f aca="false">TRIM(SUBSTITUTE(SUBSTITUTE(SUBSTITUTE(D38,"â€“","-"), "( ", "("), " )", ")"))</f>
        <v>37th Vice President of the United States</v>
      </c>
      <c r="F38" s="4" t="s">
        <v>30</v>
      </c>
      <c r="G38" s="4" t="s">
        <v>30</v>
      </c>
      <c r="H38" s="4" t="s">
        <v>42</v>
      </c>
      <c r="I38" s="4" t="str">
        <f aca="false">PROPER(TRIM(H38))</f>
        <v>Office Vacant</v>
      </c>
      <c r="J38" s="8" t="n">
        <v>305000</v>
      </c>
      <c r="K38" s="6" t="n">
        <v>44391</v>
      </c>
      <c r="L38" s="6" t="n">
        <v>40972</v>
      </c>
    </row>
    <row r="39" customFormat="false" ht="13.8" hidden="false" customHeight="false" outlineLevel="0" collapsed="false">
      <c r="A39" s="4" t="n">
        <v>37</v>
      </c>
      <c r="B39" s="4" t="s">
        <v>107</v>
      </c>
      <c r="C39" s="4" t="str">
        <f aca="false">TRIM(PROPER(B39))</f>
        <v>Richard Nixon</v>
      </c>
      <c r="D39" s="4" t="s">
        <v>112</v>
      </c>
      <c r="E39" s="4" t="str">
        <f aca="false">TRIM(SUBSTITUTE(SUBSTITUTE(SUBSTITUTE(D39,"â€“","-"), "( ", "("), " )", ")"))</f>
        <v>36th Vice President of the United States (1953-1961)</v>
      </c>
      <c r="F39" s="4" t="s">
        <v>59</v>
      </c>
      <c r="G39" s="4" t="s">
        <v>59</v>
      </c>
      <c r="H39" s="4" t="s">
        <v>113</v>
      </c>
      <c r="I39" s="4" t="str">
        <f aca="false">PROPER(TRIM(H39))</f>
        <v>Spiro Agnew</v>
      </c>
      <c r="J39" s="8" t="n">
        <v>315000</v>
      </c>
      <c r="K39" s="6" t="n">
        <v>44391</v>
      </c>
      <c r="L39" s="6" t="n">
        <v>40972</v>
      </c>
    </row>
    <row r="40" customFormat="false" ht="13.8" hidden="false" customHeight="false" outlineLevel="0" collapsed="false">
      <c r="A40" s="4" t="n">
        <v>38</v>
      </c>
      <c r="B40" s="4" t="s">
        <v>114</v>
      </c>
      <c r="C40" s="4" t="str">
        <f aca="false">TRIM(PROPER(B40))</f>
        <v>Gerald Ford</v>
      </c>
      <c r="D40" s="4" t="s">
        <v>115</v>
      </c>
      <c r="E40" s="4" t="str">
        <f aca="false">TRIM(SUBSTITUTE(SUBSTITUTE(SUBSTITUTE(D40,"â€“","-"), "( ", "("), " )", ")"))</f>
        <v>40th Vice President of the United States</v>
      </c>
      <c r="F40" s="4" t="s">
        <v>59</v>
      </c>
      <c r="G40" s="4" t="s">
        <v>59</v>
      </c>
      <c r="H40" s="4" t="s">
        <v>42</v>
      </c>
      <c r="I40" s="4" t="str">
        <f aca="false">PROPER(TRIM(H40))</f>
        <v>Office Vacant</v>
      </c>
      <c r="J40" s="8" t="n">
        <v>325000</v>
      </c>
      <c r="K40" s="6" t="n">
        <v>44391</v>
      </c>
      <c r="L40" s="6" t="n">
        <v>40972</v>
      </c>
    </row>
    <row r="41" customFormat="false" ht="13.8" hidden="false" customHeight="false" outlineLevel="0" collapsed="false">
      <c r="A41" s="4" t="n">
        <v>39</v>
      </c>
      <c r="B41" s="4" t="s">
        <v>116</v>
      </c>
      <c r="C41" s="4" t="str">
        <f aca="false">TRIM(PROPER(B41))</f>
        <v>Jimmy Carter</v>
      </c>
      <c r="D41" s="4" t="s">
        <v>117</v>
      </c>
      <c r="E41" s="4" t="str">
        <f aca="false">TRIM(SUBSTITUTE(SUBSTITUTE(SUBSTITUTE(D41,"â€“","-"), "( ", "("), " )", ")"))</f>
        <v>76th Governor of Georgia (1971-1975)</v>
      </c>
      <c r="F41" s="4" t="s">
        <v>30</v>
      </c>
      <c r="G41" s="4" t="s">
        <v>30</v>
      </c>
      <c r="H41" s="4" t="s">
        <v>118</v>
      </c>
      <c r="I41" s="4" t="str">
        <f aca="false">PROPER(TRIM(H41))</f>
        <v>Walter Mondale</v>
      </c>
      <c r="J41" s="8" t="n">
        <v>335000</v>
      </c>
      <c r="K41" s="6" t="n">
        <v>44391</v>
      </c>
      <c r="L41" s="6" t="n">
        <v>40972</v>
      </c>
    </row>
    <row r="42" customFormat="false" ht="13.8" hidden="false" customHeight="false" outlineLevel="0" collapsed="false">
      <c r="A42" s="4" t="n">
        <v>40</v>
      </c>
      <c r="B42" s="4" t="s">
        <v>119</v>
      </c>
      <c r="C42" s="4" t="str">
        <f aca="false">TRIM(PROPER(B42))</f>
        <v>Ronald Reagan</v>
      </c>
      <c r="D42" s="4" t="s">
        <v>120</v>
      </c>
      <c r="E42" s="4" t="str">
        <f aca="false">TRIM(SUBSTITUTE(SUBSTITUTE(SUBSTITUTE(D42,"â€“","-"), "( ", "("), " )", ")"))</f>
        <v>33rd Governor of California (1967-1975)</v>
      </c>
      <c r="F42" s="4" t="s">
        <v>59</v>
      </c>
      <c r="G42" s="4" t="s">
        <v>59</v>
      </c>
      <c r="H42" s="4" t="s">
        <v>121</v>
      </c>
      <c r="I42" s="4" t="str">
        <f aca="false">PROPER(TRIM(H42))</f>
        <v>George H. W. Bush</v>
      </c>
      <c r="J42" s="8" t="n">
        <v>345000</v>
      </c>
      <c r="K42" s="6" t="n">
        <v>44391</v>
      </c>
      <c r="L42" s="6" t="n">
        <v>40972</v>
      </c>
    </row>
    <row r="43" customFormat="false" ht="13.8" hidden="false" customHeight="false" outlineLevel="0" collapsed="false">
      <c r="A43" s="4" t="n">
        <v>41</v>
      </c>
      <c r="B43" s="4" t="s">
        <v>121</v>
      </c>
      <c r="C43" s="4" t="str">
        <f aca="false">TRIM(PROPER(B43))</f>
        <v>George H. W. Bush</v>
      </c>
      <c r="D43" s="4" t="s">
        <v>122</v>
      </c>
      <c r="E43" s="4" t="str">
        <f aca="false">TRIM(SUBSTITUTE(SUBSTITUTE(SUBSTITUTE(D43,"â€“","-"), "( ", "("), " )", ")"))</f>
        <v>43rd Vice President of the United States</v>
      </c>
      <c r="F43" s="4" t="s">
        <v>59</v>
      </c>
      <c r="G43" s="4" t="s">
        <v>59</v>
      </c>
      <c r="H43" s="4" t="s">
        <v>123</v>
      </c>
      <c r="I43" s="4" t="str">
        <f aca="false">PROPER(TRIM(H43))</f>
        <v>Dan Quayle</v>
      </c>
      <c r="J43" s="8" t="n">
        <v>355000</v>
      </c>
      <c r="K43" s="6" t="n">
        <v>44391</v>
      </c>
      <c r="L43" s="6" t="n">
        <v>40972</v>
      </c>
    </row>
    <row r="44" customFormat="false" ht="13.8" hidden="false" customHeight="false" outlineLevel="0" collapsed="false">
      <c r="A44" s="4" t="n">
        <v>42</v>
      </c>
      <c r="B44" s="4" t="s">
        <v>124</v>
      </c>
      <c r="C44" s="4" t="str">
        <f aca="false">TRIM(PROPER(B44))</f>
        <v>Bill Clinton</v>
      </c>
      <c r="D44" s="4" t="s">
        <v>125</v>
      </c>
      <c r="E44" s="4" t="str">
        <f aca="false">TRIM(SUBSTITUTE(SUBSTITUTE(SUBSTITUTE(D44,"â€“","-"), "( ", "("), " )", ")"))</f>
        <v>40th &amp; 42nd Governor of Arkansas (1979-1981 &amp; 1983-1992)</v>
      </c>
      <c r="F44" s="4" t="s">
        <v>30</v>
      </c>
      <c r="G44" s="4" t="s">
        <v>30</v>
      </c>
      <c r="H44" s="4" t="s">
        <v>126</v>
      </c>
      <c r="I44" s="4" t="str">
        <f aca="false">PROPER(TRIM(H44))</f>
        <v>Al Gore</v>
      </c>
      <c r="J44" s="8" t="n">
        <v>365000</v>
      </c>
      <c r="K44" s="6" t="n">
        <v>44391</v>
      </c>
      <c r="L44" s="6" t="n">
        <v>40972</v>
      </c>
    </row>
    <row r="45" customFormat="false" ht="13.8" hidden="false" customHeight="false" outlineLevel="0" collapsed="false">
      <c r="A45" s="4" t="n">
        <v>43</v>
      </c>
      <c r="B45" s="4" t="s">
        <v>127</v>
      </c>
      <c r="C45" s="4" t="str">
        <f aca="false">TRIM(PROPER(B45))</f>
        <v>George W. Bush</v>
      </c>
      <c r="D45" s="4" t="s">
        <v>128</v>
      </c>
      <c r="E45" s="4" t="str">
        <f aca="false">TRIM(SUBSTITUTE(SUBSTITUTE(SUBSTITUTE(D45,"â€“","-"), "( ", "("), " )", ")"))</f>
        <v>46th Governor of Texas (1995-2000)</v>
      </c>
      <c r="F45" s="4" t="s">
        <v>59</v>
      </c>
      <c r="G45" s="4" t="s">
        <v>59</v>
      </c>
      <c r="H45" s="4" t="s">
        <v>129</v>
      </c>
      <c r="I45" s="4" t="str">
        <f aca="false">PROPER(TRIM(H45))</f>
        <v>Dick Cheney</v>
      </c>
      <c r="J45" s="8" t="n">
        <v>375000</v>
      </c>
      <c r="K45" s="6" t="n">
        <v>44391</v>
      </c>
      <c r="L45" s="6" t="n">
        <v>40972</v>
      </c>
    </row>
    <row r="46" customFormat="false" ht="13.8" hidden="false" customHeight="false" outlineLevel="0" collapsed="false">
      <c r="A46" s="4" t="n">
        <v>44</v>
      </c>
      <c r="B46" s="4" t="s">
        <v>130</v>
      </c>
      <c r="C46" s="4" t="str">
        <f aca="false">TRIM(PROPER(B46))</f>
        <v>Barack Obama</v>
      </c>
      <c r="D46" s="4" t="s">
        <v>131</v>
      </c>
      <c r="E46" s="4" t="str">
        <f aca="false">TRIM(SUBSTITUTE(SUBSTITUTE(SUBSTITUTE(D46,"â€“","-"), "( ", "("), " )", ")"))</f>
        <v>U.S. Senator (Class 3) from Illinois (2005-2008)</v>
      </c>
      <c r="F46" s="4" t="s">
        <v>30</v>
      </c>
      <c r="G46" s="4" t="s">
        <v>30</v>
      </c>
      <c r="H46" s="4" t="s">
        <v>132</v>
      </c>
      <c r="I46" s="4" t="str">
        <f aca="false">PROPER(TRIM(H46))</f>
        <v>Joe Biden</v>
      </c>
      <c r="J46" s="8" t="n">
        <v>395000</v>
      </c>
      <c r="K46" s="6" t="n">
        <v>44391</v>
      </c>
      <c r="L46" s="6" t="n">
        <v>43862</v>
      </c>
    </row>
    <row r="47" customFormat="false" ht="13.8" hidden="false" customHeight="false" outlineLevel="0" collapsed="false">
      <c r="A47" s="4" t="n">
        <v>45</v>
      </c>
      <c r="B47" s="4" t="s">
        <v>130</v>
      </c>
      <c r="C47" s="4" t="str">
        <f aca="false">TRIM(PROPER(B47))</f>
        <v>Barack Obama</v>
      </c>
      <c r="D47" s="4" t="s">
        <v>134</v>
      </c>
      <c r="E47" s="4" t="str">
        <f aca="false">TRIM(SUBSTITUTE(SUBSTITUTE(SUBSTITUTE(D47,"â€“","-"), "( ", "("), " )", ")"))</f>
        <v>Chairman of The Trump Organization (1971-present)</v>
      </c>
      <c r="F47" s="4" t="s">
        <v>135</v>
      </c>
      <c r="G47" s="4" t="s">
        <v>59</v>
      </c>
      <c r="H47" s="4" t="s">
        <v>136</v>
      </c>
      <c r="I47" s="4" t="str">
        <f aca="false">PROPER(TRIM(H47))</f>
        <v>Mike Pence</v>
      </c>
      <c r="J47" s="8" t="n">
        <v>405000</v>
      </c>
      <c r="K47" s="6" t="n">
        <v>44391</v>
      </c>
      <c r="L47" s="6" t="n">
        <v>43862</v>
      </c>
    </row>
    <row r="48" customFormat="false" ht="13.8" hidden="false" customHeight="false" outlineLevel="0" collapsed="false">
      <c r="B48" s="4" t="s">
        <v>133</v>
      </c>
    </row>
  </sheetData>
  <autoFilter ref="A1:L47"/>
  <conditionalFormatting sqref="J1:J1048576">
    <cfRule type="colorScale" priority="2">
      <colorScale>
        <cfvo type="num" val="50000"/>
        <cfvo type="num" val="155000"/>
        <cfvo type="num" val="200000"/>
        <color rgb="FFFF0000"/>
        <color rgb="FFFFFF00"/>
        <color rgb="FF00A933"/>
      </colorScale>
    </cfRule>
    <cfRule type="cellIs" priority="3" operator="equal" aboveAverage="0" equalAverage="0" bottom="0" percent="0" rank="0" text="" dxfId="20">
      <formula>0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2022-02-27T01:14:16Z</dcterms:created>
  <dc:creator/>
  <dc:description/>
  <dc:language>pt-PT</dc:language>
  <cp:lastModifiedBy/>
  <dcterms:modified xsi:type="dcterms:W3CDTF">2026-07-06T15:25:25Z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